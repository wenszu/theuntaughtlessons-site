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Free test" sheetId="2" state="visible" r:id="rId4"/>
    <sheet name="Free result" sheetId="3" state="visible" r:id="rId5"/>
    <sheet name="Paid test" sheetId="4" state="visible" r:id="rId6"/>
    <sheet name="Paid report" sheetId="5" state="visible" r:id="rId7"/>
    <sheet name="Profile map" sheetId="6" state="visible" r:id="rId8"/>
    <sheet name="Score rubric" sheetId="7" state="visible" r:id="rId9"/>
    <sheet name="Area rubrics" sheetId="8" state="visible" r:id="rId10"/>
    <sheet name="Scoring rules" sheetId="9" state="visible" r:id="rId11"/>
    <sheet name="Write-ups" sheetId="10" state="visible" r:id="rId12"/>
  </sheet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Working value for the mockup, not a norm. The real version uses percentiles from the Filipino pilot sample.</t>
        </r>
      </text>
    </comment>
  </commentList>
</comments>
</file>

<file path=xl/sharedStrings.xml><?xml version="1.0" encoding="utf-8"?>
<sst xmlns="http://schemas.openxmlformats.org/spreadsheetml/2006/main" count="1013" uniqueCount="567">
  <si>
    <t xml:space="preserve">UTL readiness assessment · working mockup v4</t>
  </si>
  <si>
    <t xml:space="preserve">What this is</t>
  </si>
  <si>
    <t xml:space="preserve">A clickable version of the product before it goes on the website. Answer the questions and the results write themselves, using the same rules the website would use.</t>
  </si>
  <si>
    <t xml:space="preserve">How to use it</t>
  </si>
  <si>
    <t xml:space="preserve">1. Free test tab. Change the yellow answers (1 to 5). Sample answers are already filled in.</t>
  </si>
  <si>
    <t xml:space="preserve">2. Free result tab. The score, the five area snapshot and the preview profile a free user would see.</t>
  </si>
  <si>
    <t xml:space="preserve">3. Paid test tab. The 40 extra facet questions a paying user answers.</t>
  </si>
  <si>
    <t xml:space="preserve">4. Paid report tab. The confirmed profile, top strengths, growth edges and working style.</t>
  </si>
  <si>
    <t xml:space="preserve">5. Profile map tab. The six profiles in a grid, showing where the current answers land and why.</t>
  </si>
  <si>
    <t xml:space="preserve">6. Score rubric tab. What the 0 to 100 score means, what good looks like, options for showing it, and the rules we sign off on.</t>
  </si>
  <si>
    <t xml:space="preserve">7. Area rubrics tab. A definition for each of the five areas, and what Low, Mid and High look like at work.</t>
  </si>
  <si>
    <t xml:space="preserve">8. Scoring rules tab. Every calculation step and the settings you can change, plus open questions for the pilot.</t>
  </si>
  <si>
    <t xml:space="preserve">9. Write-ups tab. Every sentence the results can show. Edit the text there and the results update.</t>
  </si>
  <si>
    <t xml:space="preserve">Colors</t>
  </si>
  <si>
    <t xml:space="preserve">Yellow cells with blue numbers are the things you change. Grey italic columns are the working behind each result, left visible so we can question them.</t>
  </si>
  <si>
    <t xml:space="preserve">What is not real yet</t>
  </si>
  <si>
    <t xml:space="preserve">Scores use a simple 0 to 100 conversion and working cut points. The real version replaces these with norms from the Filipino pilot. Nothing here should be shown to a customer as a real result.</t>
  </si>
  <si>
    <t xml:space="preserve">Free readiness check · 20 questions</t>
  </si>
  <si>
    <t xml:space="preserve">Describe yourself as you generally are now, not as you wish to be. Pick a number in each yellow cell.</t>
  </si>
  <si>
    <t xml:space="preserve">1 Very inaccurate · 2 Moderately inaccurate · 3 Neither · 4 Moderately accurate · 5 Very accurate</t>
  </si>
  <si>
    <t xml:space="preserve">Scoring (for review)</t>
  </si>
  <si>
    <t xml:space="preserve">#</t>
  </si>
  <si>
    <t xml:space="preserve">I…</t>
  </si>
  <si>
    <t xml:space="preserve">Your answer</t>
  </si>
  <si>
    <t xml:space="preserve">Area</t>
  </si>
  <si>
    <t xml:space="preserve">Key</t>
  </si>
  <si>
    <t xml:space="preserve">Scored</t>
  </si>
  <si>
    <t xml:space="preserve">Source</t>
  </si>
  <si>
    <t xml:space="preserve">Am the life of the party.</t>
  </si>
  <si>
    <t xml:space="preserve">Extraversion</t>
  </si>
  <si>
    <t xml:space="preserve">+</t>
  </si>
  <si>
    <t xml:space="preserve">Mini-IPIP</t>
  </si>
  <si>
    <t xml:space="preserve">Sympathize with others' feelings.</t>
  </si>
  <si>
    <t xml:space="preserve">Agreeableness</t>
  </si>
  <si>
    <t xml:space="preserve">Get chores done right away.</t>
  </si>
  <si>
    <t xml:space="preserve">Conscientiousness</t>
  </si>
  <si>
    <t xml:space="preserve">Have frequent mood swings.</t>
  </si>
  <si>
    <t xml:space="preserve">Neuroticism</t>
  </si>
  <si>
    <t xml:space="preserve">Have a vivid imagination.</t>
  </si>
  <si>
    <t xml:space="preserve">Intellect</t>
  </si>
  <si>
    <t xml:space="preserve">Don't talk a lot.</t>
  </si>
  <si>
    <t xml:space="preserve">-</t>
  </si>
  <si>
    <t xml:space="preserve">Am not interested in other people's problems.</t>
  </si>
  <si>
    <t xml:space="preserve">Often forget to put things back in their proper place.</t>
  </si>
  <si>
    <t xml:space="preserve">Am relaxed most of the time.</t>
  </si>
  <si>
    <t xml:space="preserve">Am not interested in abstract ideas.</t>
  </si>
  <si>
    <t xml:space="preserve">Talk to a lot of different people at parties.</t>
  </si>
  <si>
    <t xml:space="preserve">Feel others' emotions.</t>
  </si>
  <si>
    <t xml:space="preserve">Like order.</t>
  </si>
  <si>
    <t xml:space="preserve">Get upset easily.</t>
  </si>
  <si>
    <t xml:space="preserve">Have difficulty understanding abstract ideas.</t>
  </si>
  <si>
    <t xml:space="preserve">Keep in the background.</t>
  </si>
  <si>
    <t xml:space="preserve">Am not really interested in others.</t>
  </si>
  <si>
    <t xml:space="preserve">Make a mess of things.</t>
  </si>
  <si>
    <t xml:space="preserve">Seldom feel blue.</t>
  </si>
  <si>
    <t xml:space="preserve">Do not have a good imagination.</t>
  </si>
  <si>
    <t xml:space="preserve">Sample answers are filled in so you can see a result right away. Change any of them and the Free result tab updates.</t>
  </si>
  <si>
    <t xml:space="preserve">Your free readiness result</t>
  </si>
  <si>
    <t xml:space="preserve">Readiness score</t>
  </si>
  <si>
    <t xml:space="preserve">How you answered</t>
  </si>
  <si>
    <t xml:space="preserve">Score out of 100</t>
  </si>
  <si>
    <t xml:space="preserve">Level</t>
  </si>
  <si>
    <t xml:space="preserve">What it means</t>
  </si>
  <si>
    <t xml:space="preserve">Working (for review)</t>
  </si>
  <si>
    <t xml:space="preserve">Average 1 to 5</t>
  </si>
  <si>
    <t xml:space="preserve">Raw 0 to 100</t>
  </si>
  <si>
    <t xml:space="preserve">Shown</t>
  </si>
  <si>
    <t xml:space="preserve">Rank helper</t>
  </si>
  <si>
    <t xml:space="preserve">Social energy</t>
  </si>
  <si>
    <t xml:space="preserve">Warmth</t>
  </si>
  <si>
    <t xml:space="preserve">Follow-through</t>
  </si>
  <si>
    <t xml:space="preserve">Steadiness</t>
  </si>
  <si>
    <t xml:space="preserve">Curiosity</t>
  </si>
  <si>
    <t xml:space="preserve">Steadiness shows 100 minus Neuroticism</t>
  </si>
  <si>
    <t xml:space="preserve">Your strongest area</t>
  </si>
  <si>
    <t xml:space="preserve">Profile working</t>
  </si>
  <si>
    <t xml:space="preserve">Value</t>
  </si>
  <si>
    <t xml:space="preserve">Voice score (Social energy)</t>
  </si>
  <si>
    <t xml:space="preserve">Your preview profile</t>
  </si>
  <si>
    <t xml:space="preserve">Voice</t>
  </si>
  <si>
    <t xml:space="preserve">Achievement side (Follow-through)</t>
  </si>
  <si>
    <t xml:space="preserve">Where you add the most</t>
  </si>
  <si>
    <t xml:space="preserve">Connection side (Warmth)</t>
  </si>
  <si>
    <t xml:space="preserve">What to watch</t>
  </si>
  <si>
    <t xml:space="preserve">Drive</t>
  </si>
  <si>
    <t xml:space="preserve">Gap between the two</t>
  </si>
  <si>
    <t xml:space="preserve">Close call</t>
  </si>
  <si>
    <t xml:space="preserve">Profile key</t>
  </si>
  <si>
    <t xml:space="preserve">Full facet report · 40 more questions</t>
  </si>
  <si>
    <t xml:space="preserve">Same instructions as the free check. These questions break your result into 10 facets.</t>
  </si>
  <si>
    <t xml:space="preserve">Facet</t>
  </si>
  <si>
    <t xml:space="preserve">Go straight for the goal.</t>
  </si>
  <si>
    <t xml:space="preserve">Achievement-Striving</t>
  </si>
  <si>
    <t xml:space="preserve">IPIP NEO facet scale</t>
  </si>
  <si>
    <t xml:space="preserve">Start tasks right away.</t>
  </si>
  <si>
    <t xml:space="preserve">Self-Discipline</t>
  </si>
  <si>
    <t xml:space="preserve">Like to tidy up.</t>
  </si>
  <si>
    <t xml:space="preserve">Orderliness</t>
  </si>
  <si>
    <t xml:space="preserve">Like to solve complex problems.</t>
  </si>
  <si>
    <t xml:space="preserve">Worry about things.</t>
  </si>
  <si>
    <t xml:space="preserve">Anxiety</t>
  </si>
  <si>
    <t xml:space="preserve">Am easily intimidated.</t>
  </si>
  <si>
    <t xml:space="preserve">Self-Consciousness</t>
  </si>
  <si>
    <t xml:space="preserve">Take charge.</t>
  </si>
  <si>
    <t xml:space="preserve">Assertiveness</t>
  </si>
  <si>
    <t xml:space="preserve">Am always busy.</t>
  </si>
  <si>
    <t xml:space="preserve">Activity Level</t>
  </si>
  <si>
    <t xml:space="preserve">Am easy to satisfy.</t>
  </si>
  <si>
    <t xml:space="preserve">Cooperation</t>
  </si>
  <si>
    <t xml:space="preserve">Love to help others.</t>
  </si>
  <si>
    <t xml:space="preserve">Altruism</t>
  </si>
  <si>
    <t xml:space="preserve">Work hard.</t>
  </si>
  <si>
    <t xml:space="preserve">Carry out my plans.</t>
  </si>
  <si>
    <t xml:space="preserve">Do things according to a plan.</t>
  </si>
  <si>
    <t xml:space="preserve">Can handle a lot of information.</t>
  </si>
  <si>
    <t xml:space="preserve">Get stressed out easily.</t>
  </si>
  <si>
    <t xml:space="preserve">Find it difficult to approach others.</t>
  </si>
  <si>
    <t xml:space="preserve">Try to lead others.</t>
  </si>
  <si>
    <t xml:space="preserve">Can manage many things at the same time.</t>
  </si>
  <si>
    <t xml:space="preserve">Hate to seem pushy.</t>
  </si>
  <si>
    <t xml:space="preserve">Anticipate the needs of others.</t>
  </si>
  <si>
    <t xml:space="preserve">Do just enough work to get by.</t>
  </si>
  <si>
    <t xml:space="preserve">Waste my time.</t>
  </si>
  <si>
    <t xml:space="preserve">Leave my belongings around.</t>
  </si>
  <si>
    <t xml:space="preserve">Avoid philosophical discussions.</t>
  </si>
  <si>
    <t xml:space="preserve">Am not easily bothered by things.</t>
  </si>
  <si>
    <t xml:space="preserve">Am comfortable in unfamiliar situations.</t>
  </si>
  <si>
    <t xml:space="preserve">Wait for others to lead the way.</t>
  </si>
  <si>
    <t xml:space="preserve">Like to take it easy.</t>
  </si>
  <si>
    <t xml:space="preserve">Love a good fight.</t>
  </si>
  <si>
    <t xml:space="preserve">Am indifferent to the feelings of others.</t>
  </si>
  <si>
    <t xml:space="preserve">Put little time and effort into my work.</t>
  </si>
  <si>
    <t xml:space="preserve">Need a push to get started.</t>
  </si>
  <si>
    <t xml:space="preserve">Am not bothered by disorder.</t>
  </si>
  <si>
    <t xml:space="preserve">Am not interested in theoretical discussions.</t>
  </si>
  <si>
    <t xml:space="preserve">Am not easily disturbed by events.</t>
  </si>
  <si>
    <t xml:space="preserve">Am able to stand up for myself.</t>
  </si>
  <si>
    <t xml:space="preserve">Hold back my opinions.</t>
  </si>
  <si>
    <t xml:space="preserve">Like a leisurely lifestyle.</t>
  </si>
  <si>
    <t xml:space="preserve">Get back at others.</t>
  </si>
  <si>
    <t xml:space="preserve">Take no time for others.</t>
  </si>
  <si>
    <t xml:space="preserve">Your full readiness report</t>
  </si>
  <si>
    <t xml:space="preserve">Your confirmed profile</t>
  </si>
  <si>
    <t xml:space="preserve">Voice score (Assertiveness)</t>
  </si>
  <si>
    <t xml:space="preserve">Your top strengths</t>
  </si>
  <si>
    <t xml:space="preserve">Your growth edges</t>
  </si>
  <si>
    <t xml:space="preserve">Your working style</t>
  </si>
  <si>
    <t xml:space="preserve">Style facets describe how you work. No level is better than another.</t>
  </si>
  <si>
    <t xml:space="preserve">All 10 facets</t>
  </si>
  <si>
    <t xml:space="preserve">Group</t>
  </si>
  <si>
    <t xml:space="preserve">Readiness value</t>
  </si>
  <si>
    <t xml:space="preserve">Readiness</t>
  </si>
  <si>
    <t xml:space="preserve">Readiness, read inversely</t>
  </si>
  <si>
    <t xml:space="preserve">Style, the Voice axis</t>
  </si>
  <si>
    <t xml:space="preserve">Style</t>
  </si>
  <si>
    <t xml:space="preserve">Style, the Drive axis</t>
  </si>
  <si>
    <t xml:space="preserve">Anxiety and Self-Consciousness count as 100 minus their score</t>
  </si>
  <si>
    <t xml:space="preserve">Profile map</t>
  </si>
  <si>
    <t xml:space="preserve">The six profiles, where people land and how the current answers get there.</t>
  </si>
  <si>
    <t xml:space="preserve">The six profiles</t>
  </si>
  <si>
    <t xml:space="preserve">Profile</t>
  </si>
  <si>
    <t xml:space="preserve">In a few words</t>
  </si>
  <si>
    <t xml:space="preserve">How someone gets here</t>
  </si>
  <si>
    <t xml:space="preserve">Description</t>
  </si>
  <si>
    <t xml:space="preserve">Other names to test</t>
  </si>
  <si>
    <t xml:space="preserve">Quiet achiever</t>
  </si>
  <si>
    <t xml:space="preserve">Focused, self-driven, reliable</t>
  </si>
  <si>
    <t xml:space="preserve">You put in the work before anyone asks. People know you by what you finish, not by how much you talk about it.</t>
  </si>
  <si>
    <t xml:space="preserve">Heads-down doer · Self-starter</t>
  </si>
  <si>
    <t xml:space="preserve">Steady supporter</t>
  </si>
  <si>
    <t xml:space="preserve">Calm, dependable, loyal</t>
  </si>
  <si>
    <t xml:space="preserve">People lean on you when things get hard. You do not need the spotlight to make a team work better.</t>
  </si>
  <si>
    <t xml:space="preserve">Calm and dependable · Rock of the team</t>
  </si>
  <si>
    <t xml:space="preserve">Go-getter</t>
  </si>
  <si>
    <t xml:space="preserve">Driven, practical, adaptable</t>
  </si>
  <si>
    <t xml:space="preserve">You push hard for results and still read the room well enough to know when to ease off.</t>
  </si>
  <si>
    <t xml:space="preserve">Driven all-rounder · Doer</t>
  </si>
  <si>
    <t xml:space="preserve">Team player</t>
  </si>
  <si>
    <t xml:space="preserve">Cooperative, fair, easy to work with</t>
  </si>
  <si>
    <t xml:space="preserve">You keep a group working together. You often notice what two people missed about each other.</t>
  </si>
  <si>
    <t xml:space="preserve">Collaborator · Connector</t>
  </si>
  <si>
    <t xml:space="preserve">Natural leader</t>
  </si>
  <si>
    <t xml:space="preserve">Decisive, confident, ambitious</t>
  </si>
  <si>
    <t xml:space="preserve">You go first and set the pace. Other people often take their cue from you.</t>
  </si>
  <si>
    <t xml:space="preserve">Take-charge type · Trailblazer</t>
  </si>
  <si>
    <t xml:space="preserve">People person</t>
  </si>
  <si>
    <t xml:space="preserve">Outgoing, warm, encouraging</t>
  </si>
  <si>
    <t xml:space="preserve">You bring energy into a room and get people talking to each other, not only to you.</t>
  </si>
  <si>
    <t xml:space="preserve">Motivator · Energizer</t>
  </si>
  <si>
    <t xml:space="preserve">Pilot idea: before showing a result, ask people to pick which of the three names in each row fits them best. The name most people choose for themselves becomes the final name.</t>
  </si>
  <si>
    <t xml:space="preserve">Where people land</t>
  </si>
  <si>
    <t xml:space="preserve">Gold boxes show where the current answers land.</t>
  </si>
  <si>
    <t xml:space="preserve">Achievement-driven
Achievement side scores higher</t>
  </si>
  <si>
    <t xml:space="preserve">Connection-driven
Connection side scores higher</t>
  </si>
  <si>
    <t xml:space="preserve">Free preview key</t>
  </si>
  <si>
    <t xml:space="preserve">Box keys (for review)</t>
  </si>
  <si>
    <t xml:space="preserve">Full report key</t>
  </si>
  <si>
    <t xml:space="preserve">Reserved|Achievement-driven</t>
  </si>
  <si>
    <t xml:space="preserve">Reserved|Connection-driven</t>
  </si>
  <si>
    <t xml:space="preserve">Balanced|Achievement-driven</t>
  </si>
  <si>
    <t xml:space="preserve">Balanced|Connection-driven</t>
  </si>
  <si>
    <t xml:space="preserve">Vocal|Achievement-driven</t>
  </si>
  <si>
    <t xml:space="preserve">Vocal|Connection-driven</t>
  </si>
  <si>
    <t xml:space="preserve">How the current answers map</t>
  </si>
  <si>
    <t xml:space="preserve">Step</t>
  </si>
  <si>
    <t xml:space="preserve">Free preview (20 questions)</t>
  </si>
  <si>
    <t xml:space="preserve">Full report (60 questions)</t>
  </si>
  <si>
    <t xml:space="preserve">Voice score comes from</t>
  </si>
  <si>
    <t xml:space="preserve">Voice score</t>
  </si>
  <si>
    <t xml:space="preserve">Achievement side comes from</t>
  </si>
  <si>
    <t xml:space="preserve">Achievement side score</t>
  </si>
  <si>
    <t xml:space="preserve">Connection side comes from</t>
  </si>
  <si>
    <t xml:space="preserve">Connection side score</t>
  </si>
  <si>
    <t xml:space="preserve">Close call on Drive</t>
  </si>
  <si>
    <t xml:space="preserve">Readiness score rubric</t>
  </si>
  <si>
    <t xml:space="preserve">What the 0 to 100 readiness score means, what good looks like, and the rules we agree to before launch.</t>
  </si>
  <si>
    <t xml:space="preserve">What the readiness score is</t>
  </si>
  <si>
    <t xml:space="preserve">What it measures</t>
  </si>
  <si>
    <t xml:space="preserve">How often you describe yourself doing the things that carry people into bigger roles: finishing what you start, staying clear under pressure and going after hard problems.</t>
  </si>
  <si>
    <t xml:space="preserve">What goes into it</t>
  </si>
  <si>
    <t xml:space="preserve">Free check: the plain average of Follow-through, Steadiness and Curiosity. Full report: the plain average of six facets, which are Achievement-Striving, Self-Discipline, Orderliness, Intellect, Anxiety (flipped) and Self-Consciousness (flipped).</t>
  </si>
  <si>
    <t xml:space="preserve">What it is not</t>
  </si>
  <si>
    <t xml:space="preserve">A test of ability, an IQ score or a pass mark. It is how you describe yourself today, and it moves as your habits change.</t>
  </si>
  <si>
    <t xml:space="preserve">Why two areas are left out</t>
  </si>
  <si>
    <t xml:space="preserve">Social energy and Warmth are useful at both ends. A quiet leader and a loud one can both be ready. These two shape your profile instead of your score.</t>
  </si>
  <si>
    <t xml:space="preserve">What a 100 means</t>
  </si>
  <si>
    <t xml:space="preserve">The top answer on every readiness question. It is the edge of the scale, not the goal. 80 and above is already the top band, and a score above 90 is worth checking against how colleagues see you.</t>
  </si>
  <si>
    <t xml:space="preserve">Band rubric</t>
  </si>
  <si>
    <t xml:space="preserve">Band</t>
  </si>
  <si>
    <t xml:space="preserve">Score range</t>
  </si>
  <si>
    <t xml:space="preserve">Answers that produce it</t>
  </si>
  <si>
    <t xml:space="preserve">What it looks like at work</t>
  </si>
  <si>
    <t xml:space="preserve">What we suggest next</t>
  </si>
  <si>
    <t xml:space="preserve">How we say it</t>
  </si>
  <si>
    <t xml:space="preserve">Emerging</t>
  </si>
  <si>
    <t xml:space="preserve">Readiness answers average below 2.6, after reversed statements are flipped. Mostly Neither or Inaccurate on the strong-habit statements.</t>
  </si>
  <si>
    <t xml:space="preserve">You often need a deadline or a reminder to finish. Pressure can knock your thinking off course. You tend to stick with the familiar way.</t>
  </si>
  <si>
    <t xml:space="preserve">Pick one area and one habit for the next 30 days. The area with the lowest score is usually the best place to start.</t>
  </si>
  <si>
    <t xml:space="preserve">Name one starting point. Never list everything that is low. Show how many points to Developing.</t>
  </si>
  <si>
    <t xml:space="preserve">Developing</t>
  </si>
  <si>
    <t xml:space="preserve">Readiness answers average from 2.6 up to 3.4. A mix of Neither and Moderately accurate.</t>
  </si>
  <si>
    <t xml:space="preserve">You are dependable on most things. One area, often steadiness under pressure or finishing without being chased, slows you down.</t>
  </si>
  <si>
    <t xml:space="preserve">Close the one gap that would move your score the most. The result names it.</t>
  </si>
  <si>
    <t xml:space="preserve">Lead with what is already working, then name the one gap.</t>
  </si>
  <si>
    <t xml:space="preserve">Strong</t>
  </si>
  <si>
    <t xml:space="preserve">Readiness answers average from 3.4 up to 4.2. Mostly Moderately accurate.</t>
  </si>
  <si>
    <t xml:space="preserve">People count on you. You stay clear in most tense moments and take on hard problems.</t>
  </si>
  <si>
    <t xml:space="preserve">Sharpen one area and take on one piece of stretch work, such as leading a meeting or owning a project end to end.</t>
  </si>
  <si>
    <t xml:space="preserve">Confirm the habits are there. Point to the next step up, not to what is missing.</t>
  </si>
  <si>
    <t xml:space="preserve">Exceptional</t>
  </si>
  <si>
    <t xml:space="preserve">Readiness answers average 4.2 or higher. Moderately accurate across the board, with several Very accurate.</t>
  </si>
  <si>
    <t xml:space="preserve">You finish without being chased, stay calm when things get loud, and go after hard problems.</t>
  </si>
  <si>
    <t xml:space="preserve">Point these habits at a bigger role. Watch for overuse, such as holding on to plans or taking on too much yourself.</t>
  </si>
  <si>
    <t xml:space="preserve">Say plainly that the habits are there. If the score is above 90, add that very high self-ratings are worth checking with people who work with you.</t>
  </si>
  <si>
    <t xml:space="preserve">Score ranges read the cut points from the Scoring rules tab, so changing them there updates this table. The answer averages in column D are for the current cut points (40, 60, 80).</t>
  </si>
  <si>
    <t xml:space="preserve">Should we show the number? Options for the result page</t>
  </si>
  <si>
    <t xml:space="preserve">Option</t>
  </si>
  <si>
    <t xml:space="preserve">Recommend</t>
  </si>
  <si>
    <t xml:space="preserve">What the person sees</t>
  </si>
  <si>
    <t xml:space="preserve">Upside</t>
  </si>
  <si>
    <t xml:space="preserve">Risk</t>
  </si>
  <si>
    <t xml:space="preserve">A. Number first (what the preview does now)</t>
  </si>
  <si>
    <t xml:space="preserve">No</t>
  </si>
  <si>
    <t xml:space="preserve">A big 0 to 100 dial, then the band and profile.</t>
  </si>
  <si>
    <t xml:space="preserve">Clear and easy to share. Easy to compare on a retake.</t>
  </si>
  <si>
    <t xml:space="preserve">Reads like a school grade. In the Philippines 75 is often the passing mark, so a 46 can read as failing even though there is no pass mark.</t>
  </si>
  <si>
    <t xml:space="preserve">B. Band first, number second (recommended)</t>
  </si>
  <si>
    <t xml:space="preserve">Yes</t>
  </si>
  <si>
    <t xml:space="preserve">The band name large, the number smaller, and a line such as 14 points to Strong, with the one area that would move it most.</t>
  </si>
  <si>
    <t xml:space="preserve">Turns the number into a next step. People still see progress on a retake.</t>
  </si>
  <si>
    <t xml:space="preserve">The band name still has to feel fair at the low end.</t>
  </si>
  <si>
    <t xml:space="preserve">C. Band only in the free check, number in the full report</t>
  </si>
  <si>
    <t xml:space="preserve">Fallback if pilot takers say the number feels harsh</t>
  </si>
  <si>
    <t xml:space="preserve">Free takers see the band and profile. The number appears only in the paid report.</t>
  </si>
  <si>
    <t xml:space="preserve">Softest landing. Gives the paid report something extra.</t>
  </si>
  <si>
    <t xml:space="preserve">Free takers cannot see small changes on a retake.</t>
  </si>
  <si>
    <t xml:space="preserve">D. Percentile after the pilot</t>
  </si>
  <si>
    <t xml:space="preserve">Later, as a second line</t>
  </si>
  <si>
    <t xml:space="preserve">Higher than 62% of Filipino professionals who took it.</t>
  </si>
  <si>
    <t xml:space="preserve">Most honest comparison once we have the data.</t>
  </si>
  <si>
    <t xml:space="preserve">Needs at least 200 finished tests before it means anything. A low percentile can sting more than a low score.</t>
  </si>
  <si>
    <t xml:space="preserve">Rules we agree on</t>
  </si>
  <si>
    <t xml:space="preserve">Rule 1</t>
  </si>
  <si>
    <t xml:space="preserve">The score describes habits people say they have today. It is not a grade, an IQ score or a pass mark.</t>
  </si>
  <si>
    <t xml:space="preserve">Rule 2</t>
  </si>
  <si>
    <t xml:space="preserve">There is no passing score. Every band gets a next step.</t>
  </si>
  <si>
    <t xml:space="preserve">Rule 3</t>
  </si>
  <si>
    <t xml:space="preserve">Readiness counts only Follow-through, Steadiness and Curiosity (six facets in the full report). Social energy and Warmth describe style, and neither end is better.</t>
  </si>
  <si>
    <t xml:space="preserve">Rule 4</t>
  </si>
  <si>
    <t xml:space="preserve">80 and above is the top band. We never tell anyone to aim for 100. A score of 100 means the top answer on every readiness question, which is the edge of the scale and not the goal.</t>
  </si>
  <si>
    <t xml:space="preserve">Rule 5</t>
  </si>
  <si>
    <t xml:space="preserve">The cut points (40, 60 and 80 for bands, 40 and 60 for levels) are working values. We reset them with pilot data once at least 200 people have finished.</t>
  </si>
  <si>
    <t xml:space="preserve">Rule 6</t>
  </si>
  <si>
    <t xml:space="preserve">A low area is always shown with one thing to try, never on its own.</t>
  </si>
  <si>
    <t xml:space="preserve">Rule 7</t>
  </si>
  <si>
    <t xml:space="preserve">Results are for the person's own growth. We do not use them to hire, promote or rank people.</t>
  </si>
  <si>
    <t xml:space="preserve">Rule 8</t>
  </si>
  <si>
    <t xml:space="preserve">Any change to these rules gets a new version and an entry in the change log.</t>
  </si>
  <si>
    <t xml:space="preserve">Sign-off</t>
  </si>
  <si>
    <t xml:space="preserve">Name</t>
  </si>
  <si>
    <t xml:space="preserve">Agree (Yes / No)</t>
  </si>
  <si>
    <t xml:space="preserve">Role</t>
  </si>
  <si>
    <t xml:space="preserve">Date</t>
  </si>
  <si>
    <t xml:space="preserve">Comments</t>
  </si>
  <si>
    <t xml:space="preserve">Wen-Szu</t>
  </si>
  <si>
    <t xml:space="preserve">The five areas: definitions and rubrics</t>
  </si>
  <si>
    <t xml:space="preserve">Column E in the first table is the participant-facing definition. The website introduction to the five areas uses this text.</t>
  </si>
  <si>
    <t xml:space="preserve">Definitions</t>
  </si>
  <si>
    <t xml:space="preserve">Counts toward readiness</t>
  </si>
  <si>
    <t xml:space="preserve">Big Five name</t>
  </si>
  <si>
    <t xml:space="preserve">Definition (shown to participants)</t>
  </si>
  <si>
    <t xml:space="preserve">How to read the number</t>
  </si>
  <si>
    <t xml:space="preserve">Why it matters in a bigger role</t>
  </si>
  <si>
    <t xml:space="preserve">Questions that feed it</t>
  </si>
  <si>
    <t xml:space="preserve">How reliably you plan your work, keep it organized and finish it without being chased.</t>
  </si>
  <si>
    <t xml:space="preserve">How smart or talented you are, or how many hours you put in.</t>
  </si>
  <si>
    <t xml:space="preserve">Higher means a stronger habit. Very high can tip into holding on to a plan after it stops working.</t>
  </si>
  <si>
    <t xml:space="preserve">Bigger roles come with less checking. People need to trust that what you own gets done.</t>
  </si>
  <si>
    <t xml:space="preserve">Free check: mini_c1; mini_c2 (reversed); mini_c3; mini_c4 (reversed). Full report adds: Achievement-Striving, Self-Discipline, Orderliness.</t>
  </si>
  <si>
    <t xml:space="preserve">Neuroticism, shown flipped (Emotional stability)</t>
  </si>
  <si>
    <t xml:space="preserve">How calm and clear you stay under pressure, and how fast you recover from a bad day.</t>
  </si>
  <si>
    <t xml:space="preserve">Whether you have feelings or hide them. Steady people feel stress too. It throws them off less.</t>
  </si>
  <si>
    <t xml:space="preserve">Higher means pressure throws you off less. Very high can mean missing how stressed other people are.</t>
  </si>
  <si>
    <t xml:space="preserve">Senior roles bring more pressure, and more people watch how you react to it.</t>
  </si>
  <si>
    <t xml:space="preserve">Free check: mini_n1; mini_n2 (reversed); mini_n3; mini_n4 (reversed). Full report adds: Anxiety and Self-Consciousness, both flipped.</t>
  </si>
  <si>
    <t xml:space="preserve">Intellect (Openness)</t>
  </si>
  <si>
    <t xml:space="preserve">How much you enjoy ideas, hard problems and learning new ways of doing things.</t>
  </si>
  <si>
    <t xml:space="preserve">An IQ score or a measure of how much schooling you have.</t>
  </si>
  <si>
    <t xml:space="preserve">Higher means you go after hard problems and new ideas. Very high can mean chasing what is interesting over what is important.</t>
  </si>
  <si>
    <t xml:space="preserve">Bigger roles bring problems with no playbook, and tools like AI keep changing how the work gets done.</t>
  </si>
  <si>
    <t xml:space="preserve">Free check: mini_i1; mini_i2 (reversed); mini_i3 (reversed); mini_i4 (reversed). Full report adds: Intellect.</t>
  </si>
  <si>
    <t xml:space="preserve">No. It sets your Voice (Reserved, Balanced or Vocal)</t>
  </si>
  <si>
    <t xml:space="preserve">How much energy you get from being around people, and how readily you speak up and take the floor.</t>
  </si>
  <si>
    <t xml:space="preserve">How good you are with people, or whether you can lead.</t>
  </si>
  <si>
    <t xml:space="preserve">Neither end is better. It shows how you lead, from the front or one on one, and not whether you can.</t>
  </si>
  <si>
    <t xml:space="preserve">It shapes how people experience you as a leader, in the big meeting or in the quiet follow-up.</t>
  </si>
  <si>
    <t xml:space="preserve">Free check: mini_e1; mini_e2 (reversed); mini_e3; mini_e4 (reversed). Full report adds: Assertiveness (sets Voice in the full report), Activity Level.</t>
  </si>
  <si>
    <t xml:space="preserve">No. It is the connection side of your Drive</t>
  </si>
  <si>
    <t xml:space="preserve">How much you notice how others feel and how much effort you put into working well with them.</t>
  </si>
  <si>
    <t xml:space="preserve">Being nice, or being easy to push around.</t>
  </si>
  <si>
    <t xml:space="preserve">Neither end is better. Lower often means straight talk. Higher often means trust and loyalty.</t>
  </si>
  <si>
    <t xml:space="preserve">It shapes why people follow you, because they trust you or because you are clear and firm.</t>
  </si>
  <si>
    <t xml:space="preserve">Free check: mini_a1; mini_a2 (reversed); mini_a3; mini_a4 (reversed). Full report adds: Altruism (sets Drive in the full report), Cooperation.</t>
  </si>
  <si>
    <t xml:space="preserve">Level rubric for each area</t>
  </si>
  <si>
    <t xml:space="preserve">Low, Mid and High use the level cut points on the Scoring rules tab. Column E matches the result write-ups. Columns F to H are for coaches and for the full report.</t>
  </si>
  <si>
    <t xml:space="preserve">Use it for</t>
  </si>
  <si>
    <t xml:space="preserve">Watch for</t>
  </si>
  <si>
    <t xml:space="preserve">One thing to try</t>
  </si>
  <si>
    <t xml:space="preserve">Result page text (Write-ups tab)</t>
  </si>
  <si>
    <t xml:space="preserve">Low</t>
  </si>
  <si>
    <t xml:space="preserve">You start strong, then things slip without a deadline or a reminder. Plans live in your head.</t>
  </si>
  <si>
    <t xml:space="preserve">Fast starts and plans that keep changing, where flexibility helps.</t>
  </si>
  <si>
    <t xml:space="preserve">Missed handoffs, and people having to chase you.</t>
  </si>
  <si>
    <t xml:space="preserve">Write tomorrow's three tasks down before you log off. Close each one before you start something new.</t>
  </si>
  <si>
    <t xml:space="preserve">You work best with room to move and may start more than you finish. Clear deadlines and simple systems tend to help you most.</t>
  </si>
  <si>
    <t xml:space="preserve">Mid</t>
  </si>
  <si>
    <t xml:space="preserve">You get the important things done on time. Small details slide when you are busy.</t>
  </si>
  <si>
    <t xml:space="preserve">Work that mixes structure with change.</t>
  </si>
  <si>
    <t xml:space="preserve">The small loose ends that other people notice first.</t>
  </si>
  <si>
    <t xml:space="preserve">Keep one running list and clear it every Friday.</t>
  </si>
  <si>
    <t xml:space="preserve">You get the important things done and let smaller details slide when time is short.</t>
  </si>
  <si>
    <t xml:space="preserve">High</t>
  </si>
  <si>
    <t xml:space="preserve">You finish what you start without being chased. People plan around you.</t>
  </si>
  <si>
    <t xml:space="preserve">Owning deadlines, handoffs and anything other people depend on.</t>
  </si>
  <si>
    <t xml:space="preserve">Holding on to a plan after it stops working, or doing it yourself when you should hand it off.</t>
  </si>
  <si>
    <t xml:space="preserve">Hand one task a week to someone else and let them do it their way.</t>
  </si>
  <si>
    <t xml:space="preserve">You finish what you start and people can plan around you. Loose ends bother you more than they bother most people.</t>
  </si>
  <si>
    <t xml:space="preserve">Pressure reaches you fast. A bad meeting can stay with you for the rest of the day.</t>
  </si>
  <si>
    <t xml:space="preserve">Spotting risks early, because you feel them first.</t>
  </si>
  <si>
    <t xml:space="preserve">Decisions made while upset, and replaying mistakes.</t>
  </si>
  <si>
    <t xml:space="preserve">Before you reply to a tense message, wait ten minutes and write down the one thing you need from it.</t>
  </si>
  <si>
    <t xml:space="preserve">Pressure reaches you quickly and a bad moment can stay with you for a while. Knowing this helps you plan recovery time into hard weeks.</t>
  </si>
  <si>
    <t xml:space="preserve">You stay level most days. The hardest weeks still get to you.</t>
  </si>
  <si>
    <t xml:space="preserve">Normal pressure and ordinary deadlines.</t>
  </si>
  <si>
    <t xml:space="preserve">Stress that builds quietly over a long stretch.</t>
  </si>
  <si>
    <t xml:space="preserve">Put one recovery block into any week that has a big deadline.</t>
  </si>
  <si>
    <t xml:space="preserve">Most days you stay level. The really hard weeks still get to you, like they do for most people.</t>
  </si>
  <si>
    <t xml:space="preserve">You stay calm when things get loud. Other people borrow your calm.</t>
  </si>
  <si>
    <t xml:space="preserve">Crises, hard conversations and being the first to speak after bad news.</t>
  </si>
  <si>
    <t xml:space="preserve">Missing how stressed others are, or looking unbothered when it matters to them.</t>
  </si>
  <si>
    <t xml:space="preserve">In a tense moment, say how the room is feeling before you move to the fix.</t>
  </si>
  <si>
    <t xml:space="preserve">You stay calm when things get loud. The people around you often borrow some of that calm without realizing it.</t>
  </si>
  <si>
    <t xml:space="preserve">You prefer ideas you can use tomorrow. You judge an idea by whether it works.</t>
  </si>
  <si>
    <t xml:space="preserve">Getting practical things done without overthinking them.</t>
  </si>
  <si>
    <t xml:space="preserve">Missing a better way because the current one still works.</t>
  </si>
  <si>
    <t xml:space="preserve">On one problem a week, ask why one more time than you usually would before you settle.</t>
  </si>
  <si>
    <t xml:space="preserve">You prefer ideas you can use tomorrow over theory. You judge an idea by whether it works in practice.</t>
  </si>
  <si>
    <t xml:space="preserve">You enjoy an idea when it connects to real work.</t>
  </si>
  <si>
    <t xml:space="preserve">Turning ideas into plans people can act on.</t>
  </si>
  <si>
    <t xml:space="preserve">Tuning out of longer strategy conversations.</t>
  </si>
  <si>
    <t xml:space="preserve">Read one piece a week from outside your field and link it to a problem you have now.</t>
  </si>
  <si>
    <t xml:space="preserve">You enjoy a good idea when it connects to something real and lose interest when it drifts too far from practice.</t>
  </si>
  <si>
    <t xml:space="preserve">You enjoy hard problems and new ideas for their own sake. You learn new tools fast.</t>
  </si>
  <si>
    <t xml:space="preserve">Strategy, problems with no playbook, and trying new tools first.</t>
  </si>
  <si>
    <t xml:space="preserve">Chasing the interesting thing over the important one, or going deep when a quick answer would do.</t>
  </si>
  <si>
    <t xml:space="preserve">For every new idea, write down the next step and who owns it.</t>
  </si>
  <si>
    <t xml:space="preserve">You enjoy complex problems and new ideas for their own sake. You may be the one still asking why after everyone else has moved on.</t>
  </si>
  <si>
    <t xml:space="preserve">You recharge on your own and speak once you have something worth saying.</t>
  </si>
  <si>
    <t xml:space="preserve">Deep work, listening and one-on-one conversations.</t>
  </si>
  <si>
    <t xml:space="preserve">Good ideas that stay unsaid in big meetings.</t>
  </si>
  <si>
    <t xml:space="preserve">Say one thing in the first ten minutes of every meeting.</t>
  </si>
  <si>
    <t xml:space="preserve">You recharge on your own and tend to speak once you have something worth saying. In a busy meeting you may be the one who listens longest.</t>
  </si>
  <si>
    <t xml:space="preserve">You can work a room when you need to and still enjoy time alone.</t>
  </si>
  <si>
    <t xml:space="preserve">Switching between people work and focused solo work.</t>
  </si>
  <si>
    <t xml:space="preserve">Not choosing, so you neither lead the room nor protect your focus time.</t>
  </si>
  <si>
    <t xml:space="preserve">Before each meeting, decide whether you are there to lead or to listen.</t>
  </si>
  <si>
    <t xml:space="preserve">You can work a room when you need to and still enjoy time alone. Which way you lean depends on the day and the people.</t>
  </si>
  <si>
    <t xml:space="preserve">You get energy from people and are often the first to start the conversation.</t>
  </si>
  <si>
    <t xml:space="preserve">Rallying people, building networks and leading from the front.</t>
  </si>
  <si>
    <t xml:space="preserve">Filling silences other people needed, or deciding before quieter people speak.</t>
  </si>
  <si>
    <t xml:space="preserve">In your next meeting, ask two people for their view before you give yours.</t>
  </si>
  <si>
    <t xml:space="preserve">You get energy from people. You are often the first to start a conversation and people notice when you are not there.</t>
  </si>
  <si>
    <t xml:space="preserve">You say what you think, even when people do not want to hear it.</t>
  </si>
  <si>
    <t xml:space="preserve">Hard calls, negotiations and honest feedback.</t>
  </si>
  <si>
    <t xml:space="preserve">People not bringing you problems early.</t>
  </si>
  <si>
    <t xml:space="preserve">Before you give hard feedback, name one thing the person did well.</t>
  </si>
  <si>
    <t xml:space="preserve">You say what you think even when it is not what people want to hear. Others may read you as tough before they read you as fair.</t>
  </si>
  <si>
    <t xml:space="preserve">You care how people feel and can still hold a hard line.</t>
  </si>
  <si>
    <t xml:space="preserve">Managing people through change.</t>
  </si>
  <si>
    <t xml:space="preserve">Going soft or hard depending on your mood instead of the situation.</t>
  </si>
  <si>
    <t xml:space="preserve">Before a hard conversation, decide what the person needs from you.</t>
  </si>
  <si>
    <t xml:space="preserve">You care about how people feel and you can still hold a hard line when it matters.</t>
  </si>
  <si>
    <t xml:space="preserve">You notice how people feel and act on it. Colleagues come to you when something is wrong.</t>
  </si>
  <si>
    <t xml:space="preserve">Building trust, mentoring and keeping a team together.</t>
  </si>
  <si>
    <t xml:space="preserve">Avoiding a hard call to keep the peace, or taking on other people's work.</t>
  </si>
  <si>
    <t xml:space="preserve">This week, say no to one request that someone else should own.</t>
  </si>
  <si>
    <t xml:space="preserve">You notice how people are feeling and you often act on it. Colleagues likely come to you when something is not going well.</t>
  </si>
  <si>
    <t xml:space="preserve">Scoring rules</t>
  </si>
  <si>
    <t xml:space="preserve">How answers become scores. Blue cells on yellow are settings you can change to see how results move.</t>
  </si>
  <si>
    <t xml:space="preserve">Settings</t>
  </si>
  <si>
    <t xml:space="preserve">Setting</t>
  </si>
  <si>
    <t xml:space="preserve">What it does</t>
  </si>
  <si>
    <t xml:space="preserve">Level cut, low</t>
  </si>
  <si>
    <t xml:space="preserve">A score below this reads as Low</t>
  </si>
  <si>
    <t xml:space="preserve">Level cut, high</t>
  </si>
  <si>
    <t xml:space="preserve">A score above this reads as High. Between the two reads as Mid</t>
  </si>
  <si>
    <t xml:space="preserve">Voice cut, Reserved below</t>
  </si>
  <si>
    <t xml:space="preserve">Voice score below this is Reserved</t>
  </si>
  <si>
    <t xml:space="preserve">Voice cut, Vocal above</t>
  </si>
  <si>
    <t xml:space="preserve">Voice score above this is Vocal. Between the two is Balanced</t>
  </si>
  <si>
    <t xml:space="preserve">Drive close call gap</t>
  </si>
  <si>
    <t xml:space="preserve">If the two Drive scores are closer than this, the result flags a close call</t>
  </si>
  <si>
    <t xml:space="preserve">Readiness bands</t>
  </si>
  <si>
    <t xml:space="preserve">From score</t>
  </si>
  <si>
    <t xml:space="preserve">Note</t>
  </si>
  <si>
    <t xml:space="preserve">Band names from the strategy deck. Cut points are working values</t>
  </si>
  <si>
    <t xml:space="preserve">How the scoring works, step by step</t>
  </si>
  <si>
    <t xml:space="preserve">1. Each answer is 1 to 5, from Very inaccurate to Very accurate.</t>
  </si>
  <si>
    <t xml:space="preserve">2. Items marked minus are reverse scored, so a 5 becomes a 1 and a 2 becomes a 4. This happens in the Scored column of each test tab.</t>
  </si>
  <si>
    <t xml:space="preserve">3. Each area or facet score is the average of its scored items, turned into 0 to 100 with (average minus 1) divided by 4, times 100.</t>
  </si>
  <si>
    <t xml:space="preserve">4. Neuroticism is shown flipped as Steadiness (100 minus the score) so that higher always reads as more ready.</t>
  </si>
  <si>
    <t xml:space="preserve">5. Free readiness score is the plain average of Follow-through, Steadiness and Curiosity.</t>
  </si>
  <si>
    <t xml:space="preserve">6. Paid readiness score is the plain average of the six readiness facets, with Anxiety and Self-Consciousness flipped.</t>
  </si>
  <si>
    <t xml:space="preserve">7. Voice comes from Social energy in the free preview and from Assertiveness in the paid report.</t>
  </si>
  <si>
    <t xml:space="preserve">8. Drive compares Follow-through with Warmth in the free preview, and Achievement-Striving with Altruism in the paid report. The higher one wins.</t>
  </si>
  <si>
    <t xml:space="preserve">Where the items come from</t>
  </si>
  <si>
    <t xml:space="preserve">Scale</t>
  </si>
  <si>
    <t xml:space="preserve">Items used</t>
  </si>
  <si>
    <t xml:space="preserve">Alpha, full scale</t>
  </si>
  <si>
    <t xml:space="preserve">Mini-IPIP five areas</t>
  </si>
  <si>
    <t xml:space="preserve">Free tier</t>
  </si>
  <si>
    <t xml:space="preserve">20 (4 per area)</t>
  </si>
  <si>
    <t xml:space="preserve">About .65 to .77</t>
  </si>
  <si>
    <t xml:space="preserve">Donnellan, Oswald, Baird and Lucas (2006), Psychological Assessment 18(2). Public domain IPIP items</t>
  </si>
  <si>
    <t xml:space="preserve">4 of 10</t>
  </si>
  <si>
    <t xml:space="preserve">IPIP NEO facet scale, ipip.ori.org (Goldberg). Alpha is for the full 10 item version</t>
  </si>
  <si>
    <t xml:space="preserve">Open questions to settle before the pilot</t>
  </si>
  <si>
    <t xml:space="preserve">1. Scores are a straight line conversion of the 1 to 5 average. The strategy deck calls for population norms, which we can only build from pilot data.</t>
  </si>
  <si>
    <t xml:space="preserve">2. Every facet here uses 4 of its 10 IPIP items. Short scales usually have lower alpha than the full scale figures above, so each one needs checking in the pilot.</t>
  </si>
  <si>
    <t xml:space="preserve">3. The readiness score weights every facet equally. Whether some facets deserve more weight is an open question for the psychologist adviser.</t>
  </si>
  <si>
    <t xml:space="preserve">4. The strategy deck describes a Balanced Drive result for close calls, but the six profile grid only has two Drive columns. This mockup flags close calls instead of creating a third column.</t>
  </si>
  <si>
    <t xml:space="preserve">5. Items are kept word for word from the IPIP, including contractions such as Don't. Rewording any of them would need a check that it still measures the same thing.</t>
  </si>
  <si>
    <t xml:space="preserve">Write-up library</t>
  </si>
  <si>
    <t xml:space="preserve">Every sentence the results can show. Edit the text here and the results update. Keys in column B are what the formulas look up, so leave them as they are.</t>
  </si>
  <si>
    <t xml:space="preserve">Area snapshot text (free result)</t>
  </si>
  <si>
    <t xml:space="preserve">Text</t>
  </si>
  <si>
    <t xml:space="preserve">Social energy|Low</t>
  </si>
  <si>
    <t xml:space="preserve">Social energy|Mid</t>
  </si>
  <si>
    <t xml:space="preserve">Social energy|High</t>
  </si>
  <si>
    <t xml:space="preserve">Warmth|Low</t>
  </si>
  <si>
    <t xml:space="preserve">Warmth|Mid</t>
  </si>
  <si>
    <t xml:space="preserve">Warmth|High</t>
  </si>
  <si>
    <t xml:space="preserve">Follow-through|Low</t>
  </si>
  <si>
    <t xml:space="preserve">Follow-through|Mid</t>
  </si>
  <si>
    <t xml:space="preserve">Follow-through|High</t>
  </si>
  <si>
    <t xml:space="preserve">Steadiness|Low</t>
  </si>
  <si>
    <t xml:space="preserve">Steadiness|Mid</t>
  </si>
  <si>
    <t xml:space="preserve">Steadiness|High</t>
  </si>
  <si>
    <t xml:space="preserve">Curiosity|Low</t>
  </si>
  <si>
    <t xml:space="preserve">Curiosity|Mid</t>
  </si>
  <si>
    <t xml:space="preserve">Curiosity|High</t>
  </si>
  <si>
    <t xml:space="preserve">Readiness band text</t>
  </si>
  <si>
    <t xml:space="preserve">Several of the habits that carry people into bigger roles are still forming for you. The facet report shows which ones to start with.</t>
  </si>
  <si>
    <t xml:space="preserve">You have a working base and a few clear gaps. Closing one or two of them would move your score the most.</t>
  </si>
  <si>
    <t xml:space="preserve">Most of the habits that matter are already in place. The next gains come from sharpening one or two specific areas.</t>
  </si>
  <si>
    <t xml:space="preserve">Your answers show the habits of someone ready for a bigger role today. The question now is where to point them.</t>
  </si>
  <si>
    <t xml:space="preserve">Readiness profiles (Voice x Drive)</t>
  </si>
  <si>
    <t xml:space="preserve">Previous name</t>
  </si>
  <si>
    <t xml:space="preserve">Reserved</t>
  </si>
  <si>
    <t xml:space="preserve">Achievement-driven</t>
  </si>
  <si>
    <t xml:space="preserve">Work that needs finishing without anyone checking in. Your track record speaks before you do.</t>
  </si>
  <si>
    <t xml:space="preserve">Good work can go unseen. Tell people what you finished, not only what you are working on.</t>
  </si>
  <si>
    <t xml:space="preserve">The Quiet Climber</t>
  </si>
  <si>
    <t xml:space="preserve">Connection-driven</t>
  </si>
  <si>
    <t xml:space="preserve">Tense moments and teams under strain. People calm down when you are in the room.</t>
  </si>
  <si>
    <t xml:space="preserve">You may carry other people's stress without saying so. Check in on your own load too.</t>
  </si>
  <si>
    <t xml:space="preserve">The Steady Anchor</t>
  </si>
  <si>
    <t xml:space="preserve">Balanced</t>
  </si>
  <si>
    <t xml:space="preserve">Goals that need both push and judgment. You know when to press and when to wait.</t>
  </si>
  <si>
    <t xml:space="preserve">You may try to play both roles at once. Decide which one the moment actually needs.</t>
  </si>
  <si>
    <t xml:space="preserve">The Grounded Striver</t>
  </si>
  <si>
    <t xml:space="preserve">Work across teams where people talk past each other.</t>
  </si>
  <si>
    <t xml:space="preserve">Keeping the peace can delay a hard call. Some decisions need you to pick a side.</t>
  </si>
  <si>
    <t xml:space="preserve">The Bridge Builder</t>
  </si>
  <si>
    <t xml:space="preserve">Vocal</t>
  </si>
  <si>
    <t xml:space="preserve">New projects and moments that need someone to go first.</t>
  </si>
  <si>
    <t xml:space="preserve">Others may wait for you instead of stepping up. Leave room for them to lead.</t>
  </si>
  <si>
    <t xml:space="preserve">The Pacesetter</t>
  </si>
  <si>
    <t xml:space="preserve">Rallying people around a change or a new direction.</t>
  </si>
  <si>
    <t xml:space="preserve">Energy can run ahead of the plan. Pair your pull with someone who tracks the details.</t>
  </si>
  <si>
    <t xml:space="preserve">The Catalyst</t>
  </si>
  <si>
    <t xml:space="preserve">Strength and growth edge phrases (readiness facets only)</t>
  </si>
  <si>
    <t xml:space="preserve">Strength (when this facet is a high point)</t>
  </si>
  <si>
    <t xml:space="preserve">Growth edge (when this facet is a low point)</t>
  </si>
  <si>
    <t xml:space="preserve">You set a high bar for your own work and keep pushing toward it.</t>
  </si>
  <si>
    <t xml:space="preserve">You may do what is asked and stop there. Picking one goal to push past is a good place to start.</t>
  </si>
  <si>
    <t xml:space="preserve">You follow through on commitments without needing a reminder.</t>
  </si>
  <si>
    <t xml:space="preserve">Structure helps you more than open-ended ownership does.</t>
  </si>
  <si>
    <t xml:space="preserve">You keep your work organized, so others can pick it up and understand it.</t>
  </si>
  <si>
    <t xml:space="preserve">A simple system for tracking tasks would give back time you now lose to searching and redoing.</t>
  </si>
  <si>
    <t xml:space="preserve">You enjoy hard problems and can hold a lot of information at once.</t>
  </si>
  <si>
    <t xml:space="preserve">You may reach for the quick answer when a decision deserves another hour of thinking.</t>
  </si>
  <si>
    <t xml:space="preserve">A high-stakes meeting does not throw off your thinking.</t>
  </si>
  <si>
    <t xml:space="preserve">A tense meeting can stay with you longer than it should.</t>
  </si>
  <si>
    <t xml:space="preserve">You are comfortable speaking up in rooms where you are the least senior person.</t>
  </si>
  <si>
    <t xml:space="preserve">You may hold back in unfamiliar settings until you feel sure. Speaking earlier, even briefly, gets your thinking into the room.</t>
  </si>
  <si>
    <t xml:space="preserve">Working style text (style facets, described without judgment)</t>
  </si>
  <si>
    <t xml:space="preserve">Assertiveness|Low</t>
  </si>
  <si>
    <t xml:space="preserve">You tend to let others lead and step in when your view is needed.</t>
  </si>
  <si>
    <t xml:space="preserve">Assertiveness|Mid</t>
  </si>
  <si>
    <t xml:space="preserve">You lead when the situation calls for it and follow when someone else is better placed.</t>
  </si>
  <si>
    <t xml:space="preserve">Assertiveness|High</t>
  </si>
  <si>
    <t xml:space="preserve">You take charge easily and people often look to you to set direction.</t>
  </si>
  <si>
    <t xml:space="preserve">Activity Level|Low</t>
  </si>
  <si>
    <t xml:space="preserve">You prefer a steady pace and doing fewer things well.</t>
  </si>
  <si>
    <t xml:space="preserve">Activity Level|Mid</t>
  </si>
  <si>
    <t xml:space="preserve">You can speed up when needed but would rather not live at that pace.</t>
  </si>
  <si>
    <t xml:space="preserve">Activity Level|High</t>
  </si>
  <si>
    <t xml:space="preserve">You like a full calendar and move fast between tasks.</t>
  </si>
  <si>
    <t xml:space="preserve">Cooperation|Low</t>
  </si>
  <si>
    <t xml:space="preserve">You are willing to push back and argue a point when you disagree.</t>
  </si>
  <si>
    <t xml:space="preserve">Cooperation|Mid</t>
  </si>
  <si>
    <t xml:space="preserve">You pick your battles and avoid conflict that does not matter.</t>
  </si>
  <si>
    <t xml:space="preserve">Cooperation|High</t>
  </si>
  <si>
    <t xml:space="preserve">You avoid friction and work hard to keep things smooth between people.</t>
  </si>
  <si>
    <t xml:space="preserve">Altruism|Low</t>
  </si>
  <si>
    <t xml:space="preserve">You focus on the task and trust people to ask when they need help.</t>
  </si>
  <si>
    <t xml:space="preserve">Altruism|Mid</t>
  </si>
  <si>
    <t xml:space="preserve">You help when you see a need and keep your own work moving.</t>
  </si>
  <si>
    <t xml:space="preserve">Altruism|High</t>
  </si>
  <si>
    <t xml:space="preserve">You go out of your way for others, often before they ask.</t>
  </si>
  <si>
    <t xml:space="preserve">Closing messages</t>
  </si>
  <si>
    <t xml:space="preserve">Where</t>
  </si>
  <si>
    <t xml:space="preserve">Free result invitation</t>
  </si>
  <si>
    <t xml:space="preserve">Want the full picture? The paid report adds 40 questions and breaks your result into 10 facets. It confirms your profile and names your top two strengths and your top two growth edges.</t>
  </si>
  <si>
    <t xml:space="preserve">Paid report next step</t>
  </si>
  <si>
    <t xml:space="preserve">The Think, Speak, and Act Like an Executive™ cohort is built around these habits. Join the waitlist to hear when the next cohort opens.</t>
  </si>
</sst>
</file>

<file path=xl/styles.xml><?xml version="1.0" encoding="utf-8"?>
<styleSheet xmlns="http://schemas.openxmlformats.org/spreadsheetml/2006/main">
  <numFmts count="3">
    <numFmt numFmtId="164" formatCode="General"/>
    <numFmt numFmtId="165" formatCode="General"/>
    <numFmt numFmtId="166" formatCode="0.00"/>
  </numFmts>
  <fonts count="27">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18"/>
      <color rgb="FF003366"/>
      <name val="Arial"/>
      <family val="0"/>
      <charset val="1"/>
    </font>
    <font>
      <b val="true"/>
      <sz val="12"/>
      <color rgb="FF003366"/>
      <name val="Arial"/>
      <family val="0"/>
      <charset val="1"/>
    </font>
    <font>
      <sz val="11"/>
      <color rgb="FF4A4A4A"/>
      <name val="Arial"/>
      <family val="0"/>
      <charset val="1"/>
    </font>
    <font>
      <i val="true"/>
      <sz val="10"/>
      <color rgb="FF4A4A4A"/>
      <name val="Arial"/>
      <family val="0"/>
      <charset val="1"/>
    </font>
    <font>
      <b val="true"/>
      <sz val="10"/>
      <color rgb="FF003366"/>
      <name val="Arial"/>
      <family val="0"/>
      <charset val="1"/>
    </font>
    <font>
      <i val="true"/>
      <sz val="9"/>
      <color rgb="FF7A7A7A"/>
      <name val="Arial"/>
      <family val="0"/>
      <charset val="1"/>
    </font>
    <font>
      <b val="true"/>
      <sz val="10"/>
      <color rgb="FFFFFFFF"/>
      <name val="Arial"/>
      <family val="0"/>
      <charset val="1"/>
    </font>
    <font>
      <sz val="10"/>
      <color rgb="FF7A7A7A"/>
      <name val="Arial"/>
      <family val="0"/>
      <charset val="1"/>
    </font>
    <font>
      <b val="true"/>
      <sz val="11"/>
      <color rgb="FF0000FF"/>
      <name val="Arial"/>
      <family val="0"/>
      <charset val="1"/>
    </font>
    <font>
      <i val="true"/>
      <sz val="9"/>
      <color rgb="FF4A4A4A"/>
      <name val="Arial"/>
      <family val="0"/>
      <charset val="1"/>
    </font>
    <font>
      <b val="true"/>
      <sz val="28"/>
      <color rgb="FF003366"/>
      <name val="Arial"/>
      <family val="0"/>
      <charset val="1"/>
    </font>
    <font>
      <b val="true"/>
      <sz val="14"/>
      <color rgb="FFFFFFFF"/>
      <name val="Arial"/>
      <family val="0"/>
      <charset val="1"/>
    </font>
    <font>
      <b val="true"/>
      <sz val="11"/>
      <color rgb="FF003366"/>
      <name val="Arial"/>
      <family val="0"/>
      <charset val="1"/>
    </font>
    <font>
      <b val="true"/>
      <sz val="14"/>
      <color rgb="FF003366"/>
      <name val="Arial"/>
      <family val="0"/>
      <charset val="1"/>
    </font>
    <font>
      <b val="true"/>
      <sz val="10"/>
      <color rgb="FF4A4A4A"/>
      <name val="Arial"/>
      <family val="0"/>
      <charset val="1"/>
    </font>
    <font>
      <sz val="10"/>
      <color rgb="FF4A4A4A"/>
      <name val="Arial"/>
      <family val="0"/>
      <charset val="1"/>
    </font>
    <font>
      <b val="true"/>
      <sz val="16"/>
      <color rgb="FF003366"/>
      <name val="Arial"/>
      <family val="0"/>
      <charset val="1"/>
    </font>
    <font>
      <b val="true"/>
      <sz val="11"/>
      <color rgb="FF8A5A00"/>
      <name val="Arial"/>
      <family val="0"/>
      <charset val="1"/>
    </font>
    <font>
      <i val="true"/>
      <sz val="11"/>
      <color rgb="FF4A4A4A"/>
      <name val="Arial"/>
      <family val="0"/>
      <charset val="1"/>
    </font>
    <font>
      <b val="true"/>
      <sz val="11"/>
      <color rgb="FFFFFFFF"/>
      <name val="Arial"/>
      <family val="0"/>
      <charset val="1"/>
    </font>
    <font>
      <b val="true"/>
      <sz val="11"/>
      <color rgb="FF4A4A4A"/>
      <name val="Arial"/>
      <family val="0"/>
      <charset val="1"/>
    </font>
    <font>
      <sz val="10"/>
      <name val="Arial"/>
      <family val="2"/>
    </font>
  </fonts>
  <fills count="6">
    <fill>
      <patternFill patternType="none"/>
    </fill>
    <fill>
      <patternFill patternType="gray125"/>
    </fill>
    <fill>
      <patternFill patternType="solid">
        <fgColor rgb="FF003366"/>
        <bgColor rgb="FF333399"/>
      </patternFill>
    </fill>
    <fill>
      <patternFill patternType="solid">
        <fgColor rgb="FF8C8C8C"/>
        <bgColor rgb="FF7A7A7A"/>
      </patternFill>
    </fill>
    <fill>
      <patternFill patternType="solid">
        <fgColor rgb="FFFFF4CC"/>
        <bgColor rgb="FFFBEBC9"/>
      </patternFill>
    </fill>
    <fill>
      <patternFill patternType="solid">
        <fgColor rgb="FFFBEBC9"/>
        <bgColor rgb="FFFFF4CC"/>
      </patternFill>
    </fill>
  </fills>
  <borders count="4">
    <border diagonalUp="false" diagonalDown="false">
      <left/>
      <right/>
      <top/>
      <bottom/>
      <diagonal/>
    </border>
    <border diagonalUp="false" diagonalDown="false">
      <left style="thin">
        <color rgb="FFD8CCB6"/>
      </left>
      <right style="thin">
        <color rgb="FFD8CCB6"/>
      </right>
      <top style="thin">
        <color rgb="FFD8CCB6"/>
      </top>
      <bottom style="thin">
        <color rgb="FFD8CCB6"/>
      </bottom>
      <diagonal/>
    </border>
    <border diagonalUp="false" diagonalDown="false">
      <left style="thin">
        <color rgb="FFD8CCB6"/>
      </left>
      <right/>
      <top style="thin">
        <color rgb="FFD8CCB6"/>
      </top>
      <bottom style="thin">
        <color rgb="FFD8CCB6"/>
      </bottom>
      <diagonal/>
    </border>
    <border diagonalUp="false" diagonalDown="false">
      <left style="thin">
        <color rgb="FFD8CCB6"/>
      </left>
      <right style="thin">
        <color rgb="FFD8CCB6"/>
      </right>
      <top style="thin">
        <color rgb="FFD8CCB6"/>
      </top>
      <bottom style="medium">
        <color rgb="FF00336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center" vertical="center" textRotation="0" wrapText="tru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center" textRotation="0" wrapText="false" indent="0" shrinkToFit="false"/>
      <protection locked="true" hidden="false"/>
    </xf>
    <xf numFmtId="165" fontId="18"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24" fillId="2" borderId="0" xfId="0" applyFont="true" applyBorder="true" applyAlignment="true" applyProtection="false">
      <alignment horizontal="general" vertical="center" textRotation="0" wrapText="true" indent="1"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20"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24" fillId="2"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20" fillId="0" borderId="2"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20" fillId="5"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xf numFmtId="164" fontId="20" fillId="0" borderId="3" xfId="0" applyFont="true" applyBorder="true" applyAlignment="true" applyProtection="false">
      <alignment horizontal="general" vertical="top" textRotation="0" wrapText="tru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6" fontId="2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BE3B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D8CCB6"/>
      <rgbColor rgb="FF7A7A7A"/>
      <rgbColor rgb="FF9999FF"/>
      <rgbColor rgb="FF993366"/>
      <rgbColor rgb="FFFFF4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BEBC9"/>
      <rgbColor rgb="FF99CCFF"/>
      <rgbColor rgb="FFFF99CC"/>
      <rgbColor rgb="FFCC99FF"/>
      <rgbColor rgb="FFFBE3B0"/>
      <rgbColor rgb="FF3366FF"/>
      <rgbColor rgb="FF33CCCC"/>
      <rgbColor rgb="FF99CC00"/>
      <rgbColor rgb="FFFFCC00"/>
      <rgbColor rgb="FFEEA320"/>
      <rgbColor rgb="FFFF6600"/>
      <rgbColor rgb="FF666699"/>
      <rgbColor rgb="FF8C8C8C"/>
      <rgbColor rgb="FF003366"/>
      <rgbColor rgb="FF339966"/>
      <rgbColor rgb="FF003300"/>
      <rgbColor rgb="FF333300"/>
      <rgbColor rgb="FF993300"/>
      <rgbColor rgb="FF993366"/>
      <rgbColor rgb="FF333399"/>
      <rgbColor rgb="FF4A4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A320"/>
    <pageSetUpPr fitToPage="false"/>
  </sheetPr>
  <dimension ref="A1:B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0"/>
  </cols>
  <sheetData>
    <row r="1" customFormat="false" ht="15" hidden="false" customHeight="false" outlineLevel="0" collapsed="false">
      <c r="A1" s="1"/>
      <c r="B1" s="1"/>
    </row>
    <row r="2" customFormat="false" ht="22.05" hidden="false" customHeight="false" outlineLevel="0" collapsed="false">
      <c r="A2" s="1"/>
      <c r="B2" s="2" t="s">
        <v>0</v>
      </c>
    </row>
    <row r="3" customFormat="false" ht="15" hidden="false" customHeight="false" outlineLevel="0" collapsed="false">
      <c r="A3" s="1"/>
      <c r="B3" s="1"/>
    </row>
    <row r="4" customFormat="false" ht="15" hidden="false" customHeight="false" outlineLevel="0" collapsed="false">
      <c r="A4" s="1"/>
      <c r="B4" s="3" t="s">
        <v>1</v>
      </c>
    </row>
    <row r="5" customFormat="false" ht="30" hidden="false" customHeight="true" outlineLevel="0" collapsed="false">
      <c r="A5" s="1"/>
      <c r="B5" s="4" t="s">
        <v>2</v>
      </c>
    </row>
    <row r="6" customFormat="false" ht="15" hidden="false" customHeight="false" outlineLevel="0" collapsed="false">
      <c r="A6" s="1"/>
      <c r="B6" s="4"/>
    </row>
    <row r="7" customFormat="false" ht="15" hidden="false" customHeight="false" outlineLevel="0" collapsed="false">
      <c r="A7" s="1"/>
      <c r="B7" s="3" t="s">
        <v>3</v>
      </c>
    </row>
    <row r="8" customFormat="false" ht="15" hidden="false" customHeight="false" outlineLevel="0" collapsed="false">
      <c r="A8" s="1"/>
      <c r="B8" s="4" t="s">
        <v>4</v>
      </c>
    </row>
    <row r="9" customFormat="false" ht="15" hidden="false" customHeight="false" outlineLevel="0" collapsed="false">
      <c r="A9" s="1"/>
      <c r="B9" s="4" t="s">
        <v>5</v>
      </c>
    </row>
    <row r="10" customFormat="false" ht="15" hidden="false" customHeight="false" outlineLevel="0" collapsed="false">
      <c r="A10" s="1"/>
      <c r="B10" s="4" t="s">
        <v>6</v>
      </c>
    </row>
    <row r="11" customFormat="false" ht="15" hidden="false" customHeight="false" outlineLevel="0" collapsed="false">
      <c r="A11" s="1"/>
      <c r="B11" s="4" t="s">
        <v>7</v>
      </c>
    </row>
    <row r="12" customFormat="false" ht="15" hidden="false" customHeight="false" outlineLevel="0" collapsed="false">
      <c r="A12" s="1"/>
      <c r="B12" s="4" t="s">
        <v>8</v>
      </c>
    </row>
    <row r="13" customFormat="false" ht="30" hidden="false" customHeight="true" outlineLevel="0" collapsed="false">
      <c r="A13" s="1"/>
      <c r="B13" s="4" t="s">
        <v>9</v>
      </c>
    </row>
    <row r="14" customFormat="false" ht="30" hidden="false" customHeight="true" outlineLevel="0" collapsed="false">
      <c r="A14" s="1"/>
      <c r="B14" s="4" t="s">
        <v>10</v>
      </c>
    </row>
    <row r="15" customFormat="false" ht="30" hidden="false" customHeight="true" outlineLevel="0" collapsed="false">
      <c r="A15" s="1"/>
      <c r="B15" s="4" t="s">
        <v>11</v>
      </c>
    </row>
    <row r="16" customFormat="false" ht="15" hidden="false" customHeight="false" outlineLevel="0" collapsed="false">
      <c r="A16" s="1"/>
      <c r="B16" s="4" t="s">
        <v>12</v>
      </c>
    </row>
    <row r="17" customFormat="false" ht="15" hidden="false" customHeight="false" outlineLevel="0" collapsed="false">
      <c r="A17" s="1"/>
      <c r="B17" s="4"/>
    </row>
    <row r="18" customFormat="false" ht="15" hidden="false" customHeight="false" outlineLevel="0" collapsed="false">
      <c r="A18" s="1"/>
      <c r="B18" s="3" t="s">
        <v>13</v>
      </c>
    </row>
    <row r="19" customFormat="false" ht="30" hidden="false" customHeight="true" outlineLevel="0" collapsed="false">
      <c r="A19" s="1"/>
      <c r="B19" s="4" t="s">
        <v>14</v>
      </c>
    </row>
    <row r="20" customFormat="false" ht="15" hidden="false" customHeight="false" outlineLevel="0" collapsed="false">
      <c r="A20" s="1"/>
      <c r="B20" s="4"/>
    </row>
    <row r="21" customFormat="false" ht="15" hidden="false" customHeight="false" outlineLevel="0" collapsed="false">
      <c r="A21" s="1"/>
      <c r="B21" s="3" t="s">
        <v>15</v>
      </c>
    </row>
    <row r="22" customFormat="false" ht="30" hidden="false" customHeight="true" outlineLevel="0" collapsed="false">
      <c r="A22" s="1"/>
      <c r="B22"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52"/>
    <col collapsed="false" customWidth="true" hidden="false" outlineLevel="0" max="4" min="4" style="0" width="14"/>
    <col collapsed="false" customWidth="true" hidden="false" outlineLevel="0" max="5" min="5" style="0" width="4"/>
    <col collapsed="false" customWidth="true" hidden="false" outlineLevel="0" max="6" min="6" style="0" width="18"/>
    <col collapsed="false" customWidth="true" hidden="false" outlineLevel="0" max="7" min="7" style="0" width="7"/>
    <col collapsed="false" customWidth="true" hidden="false" outlineLevel="0" max="8" min="8" style="0" width="8"/>
    <col collapsed="false" customWidth="true" hidden="false" outlineLevel="0" max="9" min="9" style="0" width="30"/>
  </cols>
  <sheetData>
    <row r="1" customFormat="false" ht="15" hidden="false" customHeight="false" outlineLevel="0" collapsed="false">
      <c r="A1" s="1"/>
      <c r="B1" s="1"/>
      <c r="C1" s="1"/>
      <c r="D1" s="1"/>
      <c r="E1" s="1"/>
      <c r="F1" s="1"/>
      <c r="G1" s="1"/>
      <c r="H1" s="1"/>
      <c r="I1" s="1"/>
    </row>
    <row r="2" customFormat="false" ht="22.05" hidden="false" customHeight="false" outlineLevel="0" collapsed="false">
      <c r="A2" s="1"/>
      <c r="B2" s="2" t="s">
        <v>17</v>
      </c>
      <c r="C2" s="1"/>
      <c r="D2" s="1"/>
      <c r="E2" s="1"/>
      <c r="F2" s="1"/>
      <c r="G2" s="1"/>
      <c r="H2" s="1"/>
      <c r="I2" s="1"/>
    </row>
    <row r="3" customFormat="false" ht="15" hidden="false" customHeight="false" outlineLevel="0" collapsed="false">
      <c r="A3" s="1"/>
      <c r="B3" s="5" t="s">
        <v>18</v>
      </c>
      <c r="C3" s="1"/>
      <c r="D3" s="1"/>
      <c r="E3" s="1"/>
      <c r="F3" s="1"/>
      <c r="G3" s="1"/>
      <c r="H3" s="1"/>
      <c r="I3" s="1"/>
    </row>
    <row r="4" customFormat="false" ht="15" hidden="false" customHeight="false" outlineLevel="0" collapsed="false">
      <c r="A4" s="1"/>
      <c r="B4" s="1"/>
      <c r="C4" s="6" t="s">
        <v>19</v>
      </c>
      <c r="D4" s="1"/>
      <c r="E4" s="1"/>
      <c r="F4" s="1"/>
      <c r="G4" s="1"/>
      <c r="H4" s="1"/>
      <c r="I4" s="1"/>
    </row>
    <row r="5" customFormat="false" ht="15" hidden="false" customHeight="false" outlineLevel="0" collapsed="false">
      <c r="A5" s="1"/>
      <c r="B5" s="1"/>
      <c r="C5" s="1"/>
      <c r="D5" s="1"/>
      <c r="E5" s="1"/>
      <c r="F5" s="7" t="s">
        <v>20</v>
      </c>
      <c r="G5" s="1"/>
      <c r="H5" s="1"/>
      <c r="I5" s="1"/>
    </row>
    <row r="6" customFormat="false" ht="15" hidden="false" customHeight="false" outlineLevel="0" collapsed="false">
      <c r="A6" s="1"/>
      <c r="B6" s="8" t="s">
        <v>21</v>
      </c>
      <c r="C6" s="8" t="s">
        <v>22</v>
      </c>
      <c r="D6" s="8" t="s">
        <v>23</v>
      </c>
      <c r="E6" s="1"/>
      <c r="F6" s="9" t="s">
        <v>24</v>
      </c>
      <c r="G6" s="9" t="s">
        <v>25</v>
      </c>
      <c r="H6" s="9" t="s">
        <v>26</v>
      </c>
      <c r="I6" s="9" t="s">
        <v>27</v>
      </c>
    </row>
    <row r="7" customFormat="false" ht="21.75" hidden="false" customHeight="true" outlineLevel="0" collapsed="false">
      <c r="A7" s="1"/>
      <c r="B7" s="10" t="n">
        <v>1</v>
      </c>
      <c r="C7" s="11" t="s">
        <v>28</v>
      </c>
      <c r="D7" s="12" t="n">
        <v>3</v>
      </c>
      <c r="E7" s="1"/>
      <c r="F7" s="13" t="s">
        <v>29</v>
      </c>
      <c r="G7" s="13" t="s">
        <v>30</v>
      </c>
      <c r="H7" s="13" t="n">
        <f aca="false">IF(D7="","",IF(G7="+",D7,6-D7))</f>
        <v>3</v>
      </c>
      <c r="I7" s="13" t="s">
        <v>31</v>
      </c>
    </row>
    <row r="8" customFormat="false" ht="21.75" hidden="false" customHeight="true" outlineLevel="0" collapsed="false">
      <c r="A8" s="1"/>
      <c r="B8" s="10" t="n">
        <v>2</v>
      </c>
      <c r="C8" s="11" t="s">
        <v>32</v>
      </c>
      <c r="D8" s="12" t="n">
        <v>4</v>
      </c>
      <c r="E8" s="1"/>
      <c r="F8" s="13" t="s">
        <v>33</v>
      </c>
      <c r="G8" s="13" t="s">
        <v>30</v>
      </c>
      <c r="H8" s="13" t="n">
        <f aca="false">IF(D8="","",IF(G8="+",D8,6-D8))</f>
        <v>4</v>
      </c>
      <c r="I8" s="13" t="s">
        <v>31</v>
      </c>
    </row>
    <row r="9" customFormat="false" ht="21.75" hidden="false" customHeight="true" outlineLevel="0" collapsed="false">
      <c r="A9" s="1"/>
      <c r="B9" s="10" t="n">
        <v>3</v>
      </c>
      <c r="C9" s="11" t="s">
        <v>34</v>
      </c>
      <c r="D9" s="12" t="n">
        <v>4</v>
      </c>
      <c r="E9" s="1"/>
      <c r="F9" s="13" t="s">
        <v>35</v>
      </c>
      <c r="G9" s="13" t="s">
        <v>30</v>
      </c>
      <c r="H9" s="13" t="n">
        <f aca="false">IF(D9="","",IF(G9="+",D9,6-D9))</f>
        <v>4</v>
      </c>
      <c r="I9" s="13" t="s">
        <v>31</v>
      </c>
    </row>
    <row r="10" customFormat="false" ht="21.75" hidden="false" customHeight="true" outlineLevel="0" collapsed="false">
      <c r="A10" s="1"/>
      <c r="B10" s="10" t="n">
        <v>4</v>
      </c>
      <c r="C10" s="11" t="s">
        <v>36</v>
      </c>
      <c r="D10" s="12" t="n">
        <v>2</v>
      </c>
      <c r="E10" s="1"/>
      <c r="F10" s="13" t="s">
        <v>37</v>
      </c>
      <c r="G10" s="13" t="s">
        <v>30</v>
      </c>
      <c r="H10" s="13" t="n">
        <f aca="false">IF(D10="","",IF(G10="+",D10,6-D10))</f>
        <v>2</v>
      </c>
      <c r="I10" s="13" t="s">
        <v>31</v>
      </c>
    </row>
    <row r="11" customFormat="false" ht="21.75" hidden="false" customHeight="true" outlineLevel="0" collapsed="false">
      <c r="A11" s="1"/>
      <c r="B11" s="10" t="n">
        <v>5</v>
      </c>
      <c r="C11" s="11" t="s">
        <v>38</v>
      </c>
      <c r="D11" s="12" t="n">
        <v>4</v>
      </c>
      <c r="E11" s="1"/>
      <c r="F11" s="13" t="s">
        <v>39</v>
      </c>
      <c r="G11" s="13" t="s">
        <v>30</v>
      </c>
      <c r="H11" s="13" t="n">
        <f aca="false">IF(D11="","",IF(G11="+",D11,6-D11))</f>
        <v>4</v>
      </c>
      <c r="I11" s="13" t="s">
        <v>31</v>
      </c>
    </row>
    <row r="12" customFormat="false" ht="21.75" hidden="false" customHeight="true" outlineLevel="0" collapsed="false">
      <c r="A12" s="1"/>
      <c r="B12" s="10" t="n">
        <v>6</v>
      </c>
      <c r="C12" s="11" t="s">
        <v>40</v>
      </c>
      <c r="D12" s="12" t="n">
        <v>3</v>
      </c>
      <c r="E12" s="1"/>
      <c r="F12" s="13" t="s">
        <v>29</v>
      </c>
      <c r="G12" s="13" t="s">
        <v>41</v>
      </c>
      <c r="H12" s="13" t="n">
        <f aca="false">IF(D12="","",IF(G12="+",D12,6-D12))</f>
        <v>3</v>
      </c>
      <c r="I12" s="13" t="s">
        <v>31</v>
      </c>
    </row>
    <row r="13" customFormat="false" ht="21.75" hidden="false" customHeight="true" outlineLevel="0" collapsed="false">
      <c r="A13" s="1"/>
      <c r="B13" s="10" t="n">
        <v>7</v>
      </c>
      <c r="C13" s="11" t="s">
        <v>42</v>
      </c>
      <c r="D13" s="12" t="n">
        <v>2</v>
      </c>
      <c r="E13" s="1"/>
      <c r="F13" s="13" t="s">
        <v>33</v>
      </c>
      <c r="G13" s="13" t="s">
        <v>41</v>
      </c>
      <c r="H13" s="13" t="n">
        <f aca="false">IF(D13="","",IF(G13="+",D13,6-D13))</f>
        <v>4</v>
      </c>
      <c r="I13" s="13" t="s">
        <v>31</v>
      </c>
    </row>
    <row r="14" customFormat="false" ht="21.75" hidden="false" customHeight="true" outlineLevel="0" collapsed="false">
      <c r="A14" s="1"/>
      <c r="B14" s="10" t="n">
        <v>8</v>
      </c>
      <c r="C14" s="11" t="s">
        <v>43</v>
      </c>
      <c r="D14" s="12" t="n">
        <v>2</v>
      </c>
      <c r="E14" s="1"/>
      <c r="F14" s="13" t="s">
        <v>35</v>
      </c>
      <c r="G14" s="13" t="s">
        <v>41</v>
      </c>
      <c r="H14" s="13" t="n">
        <f aca="false">IF(D14="","",IF(G14="+",D14,6-D14))</f>
        <v>4</v>
      </c>
      <c r="I14" s="13" t="s">
        <v>31</v>
      </c>
    </row>
    <row r="15" customFormat="false" ht="21.75" hidden="false" customHeight="true" outlineLevel="0" collapsed="false">
      <c r="A15" s="1"/>
      <c r="B15" s="10" t="n">
        <v>9</v>
      </c>
      <c r="C15" s="11" t="s">
        <v>44</v>
      </c>
      <c r="D15" s="12" t="n">
        <v>4</v>
      </c>
      <c r="E15" s="1"/>
      <c r="F15" s="13" t="s">
        <v>37</v>
      </c>
      <c r="G15" s="13" t="s">
        <v>41</v>
      </c>
      <c r="H15" s="13" t="n">
        <f aca="false">IF(D15="","",IF(G15="+",D15,6-D15))</f>
        <v>2</v>
      </c>
      <c r="I15" s="13" t="s">
        <v>31</v>
      </c>
    </row>
    <row r="16" customFormat="false" ht="21.75" hidden="false" customHeight="true" outlineLevel="0" collapsed="false">
      <c r="A16" s="1"/>
      <c r="B16" s="10" t="n">
        <v>10</v>
      </c>
      <c r="C16" s="11" t="s">
        <v>45</v>
      </c>
      <c r="D16" s="12" t="n">
        <v>2</v>
      </c>
      <c r="E16" s="1"/>
      <c r="F16" s="13" t="s">
        <v>39</v>
      </c>
      <c r="G16" s="13" t="s">
        <v>41</v>
      </c>
      <c r="H16" s="13" t="n">
        <f aca="false">IF(D16="","",IF(G16="+",D16,6-D16))</f>
        <v>4</v>
      </c>
      <c r="I16" s="13" t="s">
        <v>31</v>
      </c>
    </row>
    <row r="17" customFormat="false" ht="21.75" hidden="false" customHeight="true" outlineLevel="0" collapsed="false">
      <c r="A17" s="1"/>
      <c r="B17" s="10" t="n">
        <v>11</v>
      </c>
      <c r="C17" s="11" t="s">
        <v>46</v>
      </c>
      <c r="D17" s="12" t="n">
        <v>3</v>
      </c>
      <c r="E17" s="1"/>
      <c r="F17" s="13" t="s">
        <v>29</v>
      </c>
      <c r="G17" s="13" t="s">
        <v>30</v>
      </c>
      <c r="H17" s="13" t="n">
        <f aca="false">IF(D17="","",IF(G17="+",D17,6-D17))</f>
        <v>3</v>
      </c>
      <c r="I17" s="13" t="s">
        <v>31</v>
      </c>
    </row>
    <row r="18" customFormat="false" ht="21.75" hidden="false" customHeight="true" outlineLevel="0" collapsed="false">
      <c r="A18" s="1"/>
      <c r="B18" s="10" t="n">
        <v>12</v>
      </c>
      <c r="C18" s="11" t="s">
        <v>47</v>
      </c>
      <c r="D18" s="12" t="n">
        <v>3</v>
      </c>
      <c r="E18" s="1"/>
      <c r="F18" s="13" t="s">
        <v>33</v>
      </c>
      <c r="G18" s="13" t="s">
        <v>30</v>
      </c>
      <c r="H18" s="13" t="n">
        <f aca="false">IF(D18="","",IF(G18="+",D18,6-D18))</f>
        <v>3</v>
      </c>
      <c r="I18" s="13" t="s">
        <v>31</v>
      </c>
    </row>
    <row r="19" customFormat="false" ht="21.75" hidden="false" customHeight="true" outlineLevel="0" collapsed="false">
      <c r="A19" s="1"/>
      <c r="B19" s="10" t="n">
        <v>13</v>
      </c>
      <c r="C19" s="11" t="s">
        <v>48</v>
      </c>
      <c r="D19" s="12" t="n">
        <v>5</v>
      </c>
      <c r="E19" s="1"/>
      <c r="F19" s="13" t="s">
        <v>35</v>
      </c>
      <c r="G19" s="13" t="s">
        <v>30</v>
      </c>
      <c r="H19" s="13" t="n">
        <f aca="false">IF(D19="","",IF(G19="+",D19,6-D19))</f>
        <v>5</v>
      </c>
      <c r="I19" s="13" t="s">
        <v>31</v>
      </c>
    </row>
    <row r="20" customFormat="false" ht="21.75" hidden="false" customHeight="true" outlineLevel="0" collapsed="false">
      <c r="A20" s="1"/>
      <c r="B20" s="10" t="n">
        <v>14</v>
      </c>
      <c r="C20" s="11" t="s">
        <v>49</v>
      </c>
      <c r="D20" s="12" t="n">
        <v>2</v>
      </c>
      <c r="E20" s="1"/>
      <c r="F20" s="13" t="s">
        <v>37</v>
      </c>
      <c r="G20" s="13" t="s">
        <v>30</v>
      </c>
      <c r="H20" s="13" t="n">
        <f aca="false">IF(D20="","",IF(G20="+",D20,6-D20))</f>
        <v>2</v>
      </c>
      <c r="I20" s="13" t="s">
        <v>31</v>
      </c>
    </row>
    <row r="21" customFormat="false" ht="21.75" hidden="false" customHeight="true" outlineLevel="0" collapsed="false">
      <c r="A21" s="1"/>
      <c r="B21" s="10" t="n">
        <v>15</v>
      </c>
      <c r="C21" s="11" t="s">
        <v>50</v>
      </c>
      <c r="D21" s="12" t="n">
        <v>1</v>
      </c>
      <c r="E21" s="1"/>
      <c r="F21" s="13" t="s">
        <v>39</v>
      </c>
      <c r="G21" s="13" t="s">
        <v>41</v>
      </c>
      <c r="H21" s="13" t="n">
        <f aca="false">IF(D21="","",IF(G21="+",D21,6-D21))</f>
        <v>5</v>
      </c>
      <c r="I21" s="13" t="s">
        <v>31</v>
      </c>
    </row>
    <row r="22" customFormat="false" ht="21.75" hidden="false" customHeight="true" outlineLevel="0" collapsed="false">
      <c r="A22" s="1"/>
      <c r="B22" s="10" t="n">
        <v>16</v>
      </c>
      <c r="C22" s="11" t="s">
        <v>51</v>
      </c>
      <c r="D22" s="12" t="n">
        <v>3</v>
      </c>
      <c r="E22" s="1"/>
      <c r="F22" s="13" t="s">
        <v>29</v>
      </c>
      <c r="G22" s="13" t="s">
        <v>41</v>
      </c>
      <c r="H22" s="13" t="n">
        <f aca="false">IF(D22="","",IF(G22="+",D22,6-D22))</f>
        <v>3</v>
      </c>
      <c r="I22" s="13" t="s">
        <v>31</v>
      </c>
    </row>
    <row r="23" customFormat="false" ht="21.75" hidden="false" customHeight="true" outlineLevel="0" collapsed="false">
      <c r="A23" s="1"/>
      <c r="B23" s="10" t="n">
        <v>17</v>
      </c>
      <c r="C23" s="11" t="s">
        <v>52</v>
      </c>
      <c r="D23" s="12" t="n">
        <v>1</v>
      </c>
      <c r="E23" s="1"/>
      <c r="F23" s="13" t="s">
        <v>33</v>
      </c>
      <c r="G23" s="13" t="s">
        <v>41</v>
      </c>
      <c r="H23" s="13" t="n">
        <f aca="false">IF(D23="","",IF(G23="+",D23,6-D23))</f>
        <v>5</v>
      </c>
      <c r="I23" s="13" t="s">
        <v>31</v>
      </c>
    </row>
    <row r="24" customFormat="false" ht="21.75" hidden="false" customHeight="true" outlineLevel="0" collapsed="false">
      <c r="A24" s="1"/>
      <c r="B24" s="10" t="n">
        <v>18</v>
      </c>
      <c r="C24" s="11" t="s">
        <v>53</v>
      </c>
      <c r="D24" s="12" t="n">
        <v>2</v>
      </c>
      <c r="E24" s="1"/>
      <c r="F24" s="13" t="s">
        <v>35</v>
      </c>
      <c r="G24" s="13" t="s">
        <v>41</v>
      </c>
      <c r="H24" s="13" t="n">
        <f aca="false">IF(D24="","",IF(G24="+",D24,6-D24))</f>
        <v>4</v>
      </c>
      <c r="I24" s="13" t="s">
        <v>31</v>
      </c>
    </row>
    <row r="25" customFormat="false" ht="21.75" hidden="false" customHeight="true" outlineLevel="0" collapsed="false">
      <c r="A25" s="1"/>
      <c r="B25" s="10" t="n">
        <v>19</v>
      </c>
      <c r="C25" s="11" t="s">
        <v>54</v>
      </c>
      <c r="D25" s="12" t="n">
        <v>4</v>
      </c>
      <c r="E25" s="1"/>
      <c r="F25" s="13" t="s">
        <v>37</v>
      </c>
      <c r="G25" s="13" t="s">
        <v>41</v>
      </c>
      <c r="H25" s="13" t="n">
        <f aca="false">IF(D25="","",IF(G25="+",D25,6-D25))</f>
        <v>2</v>
      </c>
      <c r="I25" s="13" t="s">
        <v>31</v>
      </c>
    </row>
    <row r="26" customFormat="false" ht="21.75" hidden="false" customHeight="true" outlineLevel="0" collapsed="false">
      <c r="A26" s="1"/>
      <c r="B26" s="10" t="n">
        <v>20</v>
      </c>
      <c r="C26" s="11" t="s">
        <v>55</v>
      </c>
      <c r="D26" s="12" t="n">
        <v>2</v>
      </c>
      <c r="E26" s="1"/>
      <c r="F26" s="13" t="s">
        <v>39</v>
      </c>
      <c r="G26" s="13" t="s">
        <v>41</v>
      </c>
      <c r="H26" s="13" t="n">
        <f aca="false">IF(D26="","",IF(G26="+",D26,6-D26))</f>
        <v>4</v>
      </c>
      <c r="I26" s="13" t="s">
        <v>31</v>
      </c>
    </row>
    <row r="27" customFormat="false" ht="15" hidden="false" customHeight="false" outlineLevel="0" collapsed="false">
      <c r="A27" s="1"/>
      <c r="B27" s="1"/>
      <c r="C27" s="1"/>
      <c r="D27" s="1"/>
      <c r="E27" s="1"/>
      <c r="F27" s="1"/>
      <c r="G27" s="1"/>
      <c r="H27" s="1"/>
      <c r="I27" s="1"/>
    </row>
    <row r="28" customFormat="false" ht="25.5" hidden="false" customHeight="true" outlineLevel="0" collapsed="false">
      <c r="A28" s="1"/>
      <c r="B28" s="1"/>
      <c r="C28" s="14" t="s">
        <v>56</v>
      </c>
      <c r="D28" s="1"/>
      <c r="E28" s="1"/>
      <c r="F28" s="1"/>
      <c r="G28" s="1"/>
      <c r="H28" s="1"/>
      <c r="I28" s="1"/>
    </row>
  </sheetData>
  <dataValidations count="1">
    <dataValidation allowBlank="true" error="Please choose a number from 1 to 5." errorStyle="stop" errorTitle="Pick 1 to 5" operator="between" showDropDown="false" showErrorMessage="true" showInputMessage="false" sqref="D7:D26"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6"/>
    <col collapsed="false" customWidth="true" hidden="false" outlineLevel="0" max="4" min="4" style="0" width="14"/>
    <col collapsed="false" customWidth="true" hidden="false" outlineLevel="0" max="5" min="5" style="0" width="40"/>
    <col collapsed="false" customWidth="true" hidden="false" outlineLevel="0" max="6" min="6" style="0" width="30"/>
    <col collapsed="false" customWidth="true" hidden="false" outlineLevel="0" max="7" min="7" style="0" width="3"/>
    <col collapsed="false" customWidth="true" hidden="false" outlineLevel="0" max="8" min="8" style="0" width="26"/>
    <col collapsed="false" customWidth="true" hidden="false" outlineLevel="0" max="9" min="9" style="0" width="22"/>
    <col collapsed="false" customWidth="true" hidden="false" outlineLevel="0" max="11" min="10" style="0" width="10"/>
    <col collapsed="false" customWidth="true" hidden="false" outlineLevel="0" max="12" min="12" style="0" width="12"/>
  </cols>
  <sheetData>
    <row r="1" customFormat="false" ht="15" hidden="false" customHeight="false" outlineLevel="0" collapsed="false">
      <c r="A1" s="1"/>
      <c r="B1" s="1"/>
      <c r="C1" s="1"/>
      <c r="D1" s="1"/>
      <c r="E1" s="1"/>
      <c r="F1" s="1"/>
      <c r="G1" s="1"/>
      <c r="H1" s="1"/>
      <c r="I1" s="1"/>
      <c r="J1" s="1"/>
      <c r="K1" s="1"/>
      <c r="L1" s="1"/>
    </row>
    <row r="2" customFormat="false" ht="22.05" hidden="false" customHeight="false" outlineLevel="0" collapsed="false">
      <c r="A2" s="1"/>
      <c r="B2" s="2" t="s">
        <v>57</v>
      </c>
      <c r="C2" s="1"/>
      <c r="D2" s="1"/>
      <c r="E2" s="1"/>
      <c r="F2" s="1"/>
      <c r="G2" s="1"/>
      <c r="H2" s="1"/>
      <c r="I2" s="1"/>
      <c r="J2" s="1"/>
      <c r="K2" s="1"/>
      <c r="L2" s="1"/>
    </row>
    <row r="3" customFormat="false" ht="15" hidden="false" customHeight="false" outlineLevel="0" collapsed="false">
      <c r="A3" s="1"/>
      <c r="B3" s="5" t="str">
        <f aca="false">IF(COUNT('Free test'!$D$7:$D$26)&lt;20,"Answered "&amp;COUNT('Free test'!$D$7:$D$26)&amp;" of 20. Finish all 20 for a complete result.","All 20 questions answered.")</f>
        <v>All 20 questions answered.</v>
      </c>
      <c r="C3" s="1"/>
      <c r="D3" s="1"/>
      <c r="E3" s="1"/>
      <c r="F3" s="1"/>
      <c r="G3" s="1"/>
      <c r="H3" s="1"/>
      <c r="I3" s="1"/>
      <c r="J3" s="1"/>
      <c r="K3" s="1"/>
      <c r="L3" s="1"/>
    </row>
    <row r="4" customFormat="false" ht="15" hidden="false" customHeight="false" outlineLevel="0" collapsed="false">
      <c r="A4" s="1"/>
      <c r="B4" s="1"/>
      <c r="C4" s="1"/>
      <c r="D4" s="1"/>
      <c r="E4" s="1"/>
      <c r="F4" s="1"/>
      <c r="G4" s="1"/>
      <c r="H4" s="1"/>
      <c r="I4" s="1"/>
      <c r="J4" s="1"/>
      <c r="K4" s="1"/>
      <c r="L4" s="1"/>
    </row>
    <row r="5" customFormat="false" ht="42" hidden="false" customHeight="true" outlineLevel="0" collapsed="false">
      <c r="A5" s="1"/>
      <c r="B5" s="15" t="s">
        <v>58</v>
      </c>
      <c r="C5" s="16" t="n">
        <f aca="false">IFERROR(ROUND(AVERAGE(C11,C12,C13),0),"")</f>
        <v>79</v>
      </c>
      <c r="D5" s="17" t="str">
        <f aca="false">IFERROR(INDEX('Scoring rules'!$B$16:$B$19,MATCH(C5,'Scoring rules'!$C$16:$C$19,1)),"")</f>
        <v>Strong</v>
      </c>
      <c r="E5" s="1"/>
      <c r="F5" s="1"/>
      <c r="G5" s="1"/>
      <c r="H5" s="1"/>
      <c r="I5" s="1"/>
      <c r="J5" s="1"/>
      <c r="K5" s="1"/>
      <c r="L5" s="1"/>
    </row>
    <row r="6" customFormat="false" ht="36" hidden="false" customHeight="true" outlineLevel="0" collapsed="false">
      <c r="A6" s="1"/>
      <c r="B6" s="18" t="str">
        <f aca="false">IFERROR(INDEX('Write-ups'!$E$25:$E$28,MATCH(D5,'Write-ups'!$B$25:$B$28,0)),"")</f>
        <v>Most of the habits that matter are already in place. The next gains come from sharpening one or two specific areas.</v>
      </c>
      <c r="C6" s="18"/>
      <c r="D6" s="18"/>
      <c r="E6" s="18"/>
      <c r="F6" s="18"/>
      <c r="G6" s="1"/>
      <c r="H6" s="1"/>
      <c r="I6" s="1"/>
      <c r="J6" s="1"/>
      <c r="K6" s="1"/>
      <c r="L6" s="1"/>
    </row>
    <row r="7" customFormat="false" ht="15" hidden="false" customHeight="false" outlineLevel="0" collapsed="false">
      <c r="A7" s="1"/>
      <c r="B7" s="1"/>
      <c r="C7" s="1"/>
      <c r="D7" s="1"/>
      <c r="E7" s="1"/>
      <c r="F7" s="1"/>
      <c r="G7" s="1"/>
      <c r="H7" s="1"/>
      <c r="I7" s="1"/>
      <c r="J7" s="1"/>
      <c r="K7" s="1"/>
      <c r="L7" s="1"/>
    </row>
    <row r="8" customFormat="false" ht="23.85" hidden="false" customHeight="true" outlineLevel="0" collapsed="false">
      <c r="A8" s="1"/>
      <c r="B8" s="15" t="s">
        <v>59</v>
      </c>
      <c r="C8" s="8" t="s">
        <v>60</v>
      </c>
      <c r="D8" s="8" t="s">
        <v>61</v>
      </c>
      <c r="E8" s="8" t="s">
        <v>62</v>
      </c>
      <c r="F8" s="8"/>
      <c r="G8" s="1"/>
      <c r="H8" s="9" t="s">
        <v>63</v>
      </c>
      <c r="I8" s="9" t="s">
        <v>64</v>
      </c>
      <c r="J8" s="9" t="s">
        <v>65</v>
      </c>
      <c r="K8" s="9" t="s">
        <v>66</v>
      </c>
      <c r="L8" s="9" t="s">
        <v>67</v>
      </c>
    </row>
    <row r="9" customFormat="false" ht="43.5" hidden="false" customHeight="true" outlineLevel="0" collapsed="false">
      <c r="A9" s="1"/>
      <c r="B9" s="19" t="s">
        <v>68</v>
      </c>
      <c r="C9" s="20" t="n">
        <f aca="false">K9</f>
        <v>50</v>
      </c>
      <c r="D9" s="21" t="str">
        <f aca="false">IF(C9="","",IF(C9&lt;'Scoring rules'!$C$7,"Low",IF(C9&gt;'Scoring rules'!$C$8,"High","Mid")))</f>
        <v>Mid</v>
      </c>
      <c r="E9" s="22" t="str">
        <f aca="false">IFERROR(INDEX('Write-ups'!$E$7:$E$21,MATCH(B9&amp;"|"&amp;D9,'Write-ups'!$B$7:$B$21,0)),"")</f>
        <v>You can work a room when you need to and still enjoy time alone. Which way you lean depends on the day and the people.</v>
      </c>
      <c r="F9" s="22"/>
      <c r="G9" s="1"/>
      <c r="H9" s="23" t="s">
        <v>29</v>
      </c>
      <c r="I9" s="23" t="n">
        <f aca="false">IFERROR(ROUND(AVERAGEIFS('Free test'!$H$7:$H$26,'Free test'!$F$7:$F$26,H9),2),"")</f>
        <v>3</v>
      </c>
      <c r="J9" s="23" t="n">
        <f aca="false">IF(I9="","",ROUND((I9-1)/4*100,0))</f>
        <v>50</v>
      </c>
      <c r="K9" s="23" t="n">
        <f aca="false">J9</f>
        <v>50</v>
      </c>
      <c r="L9" s="23" t="n">
        <f aca="false">IF(K9="","",K9+ROW()/100000)</f>
        <v>50.00009</v>
      </c>
    </row>
    <row r="10" customFormat="false" ht="43.5" hidden="false" customHeight="true" outlineLevel="0" collapsed="false">
      <c r="A10" s="1"/>
      <c r="B10" s="19" t="s">
        <v>69</v>
      </c>
      <c r="C10" s="20" t="n">
        <f aca="false">K10</f>
        <v>75</v>
      </c>
      <c r="D10" s="21" t="str">
        <f aca="false">IF(C10="","",IF(C10&lt;'Scoring rules'!$C$7,"Low",IF(C10&gt;'Scoring rules'!$C$8,"High","Mid")))</f>
        <v>High</v>
      </c>
      <c r="E10" s="22" t="str">
        <f aca="false">IFERROR(INDEX('Write-ups'!$E$7:$E$21,MATCH(B10&amp;"|"&amp;D10,'Write-ups'!$B$7:$B$21,0)),"")</f>
        <v>You notice how people are feeling and you often act on it. Colleagues likely come to you when something is not going well.</v>
      </c>
      <c r="F10" s="22"/>
      <c r="G10" s="1"/>
      <c r="H10" s="23" t="s">
        <v>33</v>
      </c>
      <c r="I10" s="23" t="n">
        <f aca="false">IFERROR(ROUND(AVERAGEIFS('Free test'!$H$7:$H$26,'Free test'!$F$7:$F$26,H10),2),"")</f>
        <v>4</v>
      </c>
      <c r="J10" s="23" t="n">
        <f aca="false">IF(I10="","",ROUND((I10-1)/4*100,0))</f>
        <v>75</v>
      </c>
      <c r="K10" s="23" t="n">
        <f aca="false">J10</f>
        <v>75</v>
      </c>
      <c r="L10" s="23" t="n">
        <f aca="false">IF(K10="","",K10+ROW()/100000)</f>
        <v>75.0001</v>
      </c>
    </row>
    <row r="11" customFormat="false" ht="43.5" hidden="false" customHeight="true" outlineLevel="0" collapsed="false">
      <c r="A11" s="1"/>
      <c r="B11" s="19" t="s">
        <v>70</v>
      </c>
      <c r="C11" s="20" t="n">
        <f aca="false">K11</f>
        <v>81</v>
      </c>
      <c r="D11" s="21" t="str">
        <f aca="false">IF(C11="","",IF(C11&lt;'Scoring rules'!$C$7,"Low",IF(C11&gt;'Scoring rules'!$C$8,"High","Mid")))</f>
        <v>High</v>
      </c>
      <c r="E11" s="22" t="str">
        <f aca="false">IFERROR(INDEX('Write-ups'!$E$7:$E$21,MATCH(B11&amp;"|"&amp;D11,'Write-ups'!$B$7:$B$21,0)),"")</f>
        <v>You finish what you start and people can plan around you. Loose ends bother you more than they bother most people.</v>
      </c>
      <c r="F11" s="22"/>
      <c r="G11" s="1"/>
      <c r="H11" s="23" t="s">
        <v>35</v>
      </c>
      <c r="I11" s="23" t="n">
        <f aca="false">IFERROR(ROUND(AVERAGEIFS('Free test'!$H$7:$H$26,'Free test'!$F$7:$F$26,H11),2),"")</f>
        <v>4.25</v>
      </c>
      <c r="J11" s="23" t="n">
        <f aca="false">IF(I11="","",ROUND((I11-1)/4*100,0))</f>
        <v>81</v>
      </c>
      <c r="K11" s="23" t="n">
        <f aca="false">J11</f>
        <v>81</v>
      </c>
      <c r="L11" s="23" t="n">
        <f aca="false">IF(K11="","",K11+ROW()/100000)</f>
        <v>81.00011</v>
      </c>
    </row>
    <row r="12" customFormat="false" ht="43.5" hidden="false" customHeight="true" outlineLevel="0" collapsed="false">
      <c r="A12" s="1"/>
      <c r="B12" s="19" t="s">
        <v>71</v>
      </c>
      <c r="C12" s="20" t="n">
        <f aca="false">K12</f>
        <v>75</v>
      </c>
      <c r="D12" s="21" t="str">
        <f aca="false">IF(C12="","",IF(C12&lt;'Scoring rules'!$C$7,"Low",IF(C12&gt;'Scoring rules'!$C$8,"High","Mid")))</f>
        <v>High</v>
      </c>
      <c r="E12" s="22" t="str">
        <f aca="false">IFERROR(INDEX('Write-ups'!$E$7:$E$21,MATCH(B12&amp;"|"&amp;D12,'Write-ups'!$B$7:$B$21,0)),"")</f>
        <v>You stay calm when things get loud. The people around you often borrow some of that calm without realizing it.</v>
      </c>
      <c r="F12" s="22"/>
      <c r="G12" s="1"/>
      <c r="H12" s="23" t="s">
        <v>37</v>
      </c>
      <c r="I12" s="23" t="n">
        <f aca="false">IFERROR(ROUND(AVERAGEIFS('Free test'!$H$7:$H$26,'Free test'!$F$7:$F$26,H12),2),"")</f>
        <v>2</v>
      </c>
      <c r="J12" s="23" t="n">
        <f aca="false">IF(I12="","",ROUND((I12-1)/4*100,0))</f>
        <v>25</v>
      </c>
      <c r="K12" s="23" t="n">
        <f aca="false">IF(J12="","",100-J12)</f>
        <v>75</v>
      </c>
      <c r="L12" s="23" t="n">
        <f aca="false">IF(K12="","",K12+ROW()/100000)</f>
        <v>75.00012</v>
      </c>
    </row>
    <row r="13" customFormat="false" ht="43.5" hidden="false" customHeight="true" outlineLevel="0" collapsed="false">
      <c r="A13" s="1"/>
      <c r="B13" s="19" t="s">
        <v>72</v>
      </c>
      <c r="C13" s="20" t="n">
        <f aca="false">K13</f>
        <v>81</v>
      </c>
      <c r="D13" s="21" t="str">
        <f aca="false">IF(C13="","",IF(C13&lt;'Scoring rules'!$C$7,"Low",IF(C13&gt;'Scoring rules'!$C$8,"High","Mid")))</f>
        <v>High</v>
      </c>
      <c r="E13" s="22" t="str">
        <f aca="false">IFERROR(INDEX('Write-ups'!$E$7:$E$21,MATCH(B13&amp;"|"&amp;D13,'Write-ups'!$B$7:$B$21,0)),"")</f>
        <v>You enjoy complex problems and new ideas for their own sake. You may be the one still asking why after everyone else has moved on.</v>
      </c>
      <c r="F13" s="22"/>
      <c r="G13" s="1"/>
      <c r="H13" s="23" t="s">
        <v>39</v>
      </c>
      <c r="I13" s="23" t="n">
        <f aca="false">IFERROR(ROUND(AVERAGEIFS('Free test'!$H$7:$H$26,'Free test'!$F$7:$F$26,H13),2),"")</f>
        <v>4.25</v>
      </c>
      <c r="J13" s="23" t="n">
        <f aca="false">IF(I13="","",ROUND((I13-1)/4*100,0))</f>
        <v>81</v>
      </c>
      <c r="K13" s="23" t="n">
        <f aca="false">J13</f>
        <v>81</v>
      </c>
      <c r="L13" s="23" t="n">
        <f aca="false">IF(K13="","",K13+ROW()/100000)</f>
        <v>81.00013</v>
      </c>
    </row>
    <row r="14" customFormat="false" ht="15" hidden="false" customHeight="false" outlineLevel="0" collapsed="false">
      <c r="A14" s="1"/>
      <c r="B14" s="1"/>
      <c r="C14" s="1"/>
      <c r="D14" s="1"/>
      <c r="E14" s="1"/>
      <c r="F14" s="1"/>
      <c r="G14" s="1"/>
      <c r="H14" s="7" t="s">
        <v>73</v>
      </c>
      <c r="I14" s="1"/>
      <c r="J14" s="1"/>
      <c r="K14" s="1"/>
      <c r="L14" s="1"/>
    </row>
    <row r="15" customFormat="false" ht="15" hidden="false" customHeight="false" outlineLevel="0" collapsed="false">
      <c r="A15" s="1"/>
      <c r="B15" s="1"/>
      <c r="C15" s="1"/>
      <c r="D15" s="1"/>
      <c r="E15" s="1"/>
      <c r="F15" s="1"/>
      <c r="G15" s="1"/>
      <c r="H15" s="1"/>
      <c r="I15" s="1"/>
      <c r="J15" s="1"/>
      <c r="K15" s="1"/>
      <c r="L15" s="1"/>
    </row>
    <row r="16" customFormat="false" ht="15" hidden="false" customHeight="false" outlineLevel="0" collapsed="false">
      <c r="A16" s="1"/>
      <c r="B16" s="15" t="s">
        <v>74</v>
      </c>
      <c r="C16" s="15" t="str">
        <f aca="false">IFERROR(INDEX($B$9:$B$13,MATCH(MAX($L$9:$L$13),$L$9:$L$13,0)),"")</f>
        <v>Curiosity</v>
      </c>
      <c r="D16" s="1"/>
      <c r="E16" s="1"/>
      <c r="F16" s="1"/>
      <c r="G16" s="1"/>
      <c r="H16" s="1"/>
      <c r="I16" s="1"/>
      <c r="J16" s="1"/>
      <c r="K16" s="1"/>
      <c r="L16" s="1"/>
    </row>
    <row r="17" customFormat="false" ht="31.5" hidden="false" customHeight="true" outlineLevel="0" collapsed="false">
      <c r="A17" s="1"/>
      <c r="B17" s="24" t="str">
        <f aca="false">IFERROR(INDEX($E$9:$E$13,MATCH(MAX($L$9:$L$13),$L$9:$L$13,0)),"")</f>
        <v>You enjoy complex problems and new ideas for their own sake. You may be the one still asking why after everyone else has moved on.</v>
      </c>
      <c r="C17" s="24"/>
      <c r="D17" s="24"/>
      <c r="E17" s="24"/>
      <c r="F17" s="24"/>
      <c r="G17" s="1"/>
      <c r="H17" s="9" t="s">
        <v>75</v>
      </c>
      <c r="I17" s="9" t="s">
        <v>76</v>
      </c>
      <c r="J17" s="1"/>
      <c r="K17" s="1"/>
      <c r="L17" s="1"/>
    </row>
    <row r="18" customFormat="false" ht="15" hidden="false" customHeight="false" outlineLevel="0" collapsed="false">
      <c r="A18" s="1"/>
      <c r="B18" s="1"/>
      <c r="C18" s="1"/>
      <c r="D18" s="1"/>
      <c r="E18" s="1"/>
      <c r="F18" s="1"/>
      <c r="G18" s="1"/>
      <c r="H18" s="25" t="s">
        <v>77</v>
      </c>
      <c r="I18" s="7" t="n">
        <f aca="false">C9</f>
        <v>50</v>
      </c>
      <c r="J18" s="1"/>
      <c r="K18" s="1"/>
      <c r="L18" s="1"/>
    </row>
    <row r="19" customFormat="false" ht="27.75" hidden="false" customHeight="true" outlineLevel="0" collapsed="false">
      <c r="A19" s="1"/>
      <c r="B19" s="15" t="s">
        <v>78</v>
      </c>
      <c r="C19" s="26" t="str">
        <f aca="false">IFERROR(INDEX('Write-ups'!$E$32:$E$37,MATCH(I25,'Write-ups'!$B$32:$B$37,0)),"")</f>
        <v>Go-getter</v>
      </c>
      <c r="D19" s="27" t="str">
        <f aca="false">IFERROR(INDEX('Write-ups'!$I$32:$I$37,MATCH(I25,'Write-ups'!$B$32:$B$37,0)),"")</f>
        <v>Driven, practical, adaptable</v>
      </c>
      <c r="E19" s="27"/>
      <c r="F19" s="27"/>
      <c r="G19" s="1"/>
      <c r="H19" s="25" t="s">
        <v>79</v>
      </c>
      <c r="I19" s="7" t="str">
        <f aca="false">IF(I18="","",IF(I18&lt;'Scoring rules'!$C$9,"Reserved",IF(I18&gt;'Scoring rules'!$C$10,"Vocal","Balanced")))</f>
        <v>Balanced</v>
      </c>
      <c r="J19" s="1"/>
      <c r="K19" s="1"/>
      <c r="L19" s="1"/>
    </row>
    <row r="20" customFormat="false" ht="31.5" hidden="false" customHeight="true" outlineLevel="0" collapsed="false">
      <c r="A20" s="1"/>
      <c r="B20" s="28" t="str">
        <f aca="false">IFERROR(INDEX('Write-ups'!$H$32:$H$37,MATCH(I25,'Write-ups'!$B$32:$B$37,0)),"")</f>
        <v>You push hard for results and still read the room well enough to know when to ease off.</v>
      </c>
      <c r="C20" s="28"/>
      <c r="D20" s="28"/>
      <c r="E20" s="28"/>
      <c r="F20" s="28"/>
      <c r="G20" s="1"/>
      <c r="H20" s="25" t="s">
        <v>80</v>
      </c>
      <c r="I20" s="7" t="n">
        <f aca="false">C11</f>
        <v>81</v>
      </c>
      <c r="J20" s="1"/>
      <c r="K20" s="1"/>
      <c r="L20" s="1"/>
    </row>
    <row r="21" customFormat="false" ht="30" hidden="false" customHeight="true" outlineLevel="0" collapsed="false">
      <c r="A21" s="1"/>
      <c r="B21" s="29" t="s">
        <v>81</v>
      </c>
      <c r="C21" s="24" t="str">
        <f aca="false">IFERROR(INDEX('Write-ups'!$F$32:$F$37,MATCH(I25,'Write-ups'!$B$32:$B$37,0)),"")</f>
        <v>Goals that need both push and judgment. You know when to press and when to wait.</v>
      </c>
      <c r="D21" s="24"/>
      <c r="E21" s="24"/>
      <c r="F21" s="24"/>
      <c r="G21" s="1"/>
      <c r="H21" s="25" t="s">
        <v>82</v>
      </c>
      <c r="I21" s="7" t="n">
        <f aca="false">C10</f>
        <v>75</v>
      </c>
      <c r="J21" s="1"/>
      <c r="K21" s="1"/>
      <c r="L21" s="1"/>
    </row>
    <row r="22" customFormat="false" ht="30" hidden="false" customHeight="true" outlineLevel="0" collapsed="false">
      <c r="A22" s="1"/>
      <c r="B22" s="29" t="s">
        <v>83</v>
      </c>
      <c r="C22" s="24" t="str">
        <f aca="false">IFERROR(INDEX('Write-ups'!$G$32:$G$37,MATCH(I25,'Write-ups'!$B$32:$B$37,0)),"")</f>
        <v>You may try to play both roles at once. Decide which one the moment actually needs.</v>
      </c>
      <c r="D22" s="24"/>
      <c r="E22" s="24"/>
      <c r="F22" s="24"/>
      <c r="G22" s="1"/>
      <c r="H22" s="25" t="s">
        <v>84</v>
      </c>
      <c r="I22" s="7" t="str">
        <f aca="false">IF(OR(I20="",I21=""),"",IF(I20&gt;=I21,"Achievement-driven","Connection-driven"))</f>
        <v>Achievement-driven</v>
      </c>
      <c r="J22" s="1"/>
      <c r="K22" s="1"/>
      <c r="L22" s="1"/>
    </row>
    <row r="23" customFormat="false" ht="30" hidden="false" customHeight="true" outlineLevel="0" collapsed="false">
      <c r="A23" s="1"/>
      <c r="B23" s="30" t="str">
        <f aca="false">"This is a preview from 20 questions. The full report confirms it using 40 more."&amp;IF(I24="Yes"," Your Drive result was a close call, so the facet questions matter more than usual for you.","")</f>
        <v>This is a preview from 20 questions. The full report confirms it using 40 more. Your Drive result was a close call, so the facet questions matter more than usual for you.</v>
      </c>
      <c r="C23" s="30"/>
      <c r="D23" s="30"/>
      <c r="E23" s="30"/>
      <c r="F23" s="30"/>
      <c r="G23" s="1"/>
      <c r="H23" s="25" t="s">
        <v>85</v>
      </c>
      <c r="I23" s="7" t="n">
        <f aca="false">IF(OR(I20="",I21=""),"",ABS(I20-I21))</f>
        <v>6</v>
      </c>
      <c r="J23" s="1"/>
      <c r="K23" s="1"/>
      <c r="L23" s="1"/>
    </row>
    <row r="24" customFormat="false" ht="15" hidden="false" customHeight="false" outlineLevel="0" collapsed="false">
      <c r="A24" s="1"/>
      <c r="B24" s="1"/>
      <c r="C24" s="1"/>
      <c r="D24" s="1"/>
      <c r="E24" s="1"/>
      <c r="F24" s="1"/>
      <c r="G24" s="1"/>
      <c r="H24" s="25" t="s">
        <v>86</v>
      </c>
      <c r="I24" s="7" t="str">
        <f aca="false">IF(I23="","",IF(I23&lt;'Scoring rules'!$C$11,"Yes","No"))</f>
        <v>Yes</v>
      </c>
      <c r="J24" s="1"/>
      <c r="K24" s="1"/>
      <c r="L24" s="1"/>
    </row>
    <row r="25" customFormat="false" ht="15" hidden="false" customHeight="false" outlineLevel="0" collapsed="false">
      <c r="A25" s="1"/>
      <c r="B25" s="1"/>
      <c r="C25" s="1"/>
      <c r="D25" s="1"/>
      <c r="E25" s="1"/>
      <c r="F25" s="1"/>
      <c r="G25" s="1"/>
      <c r="H25" s="25" t="s">
        <v>87</v>
      </c>
      <c r="I25" s="7" t="str">
        <f aca="false">I19&amp;"|"&amp;I22</f>
        <v>Balanced|Achievement-driven</v>
      </c>
      <c r="J25" s="1"/>
      <c r="K25" s="1"/>
      <c r="L25" s="1"/>
    </row>
    <row r="26" customFormat="false" ht="39.75" hidden="false" customHeight="true" outlineLevel="0" collapsed="false">
      <c r="A26" s="1"/>
      <c r="B26" s="31" t="str">
        <f aca="false">'Write-ups'!$E$65</f>
        <v>Want the full picture? The paid report adds 40 questions and breaks your result into 10 facets. It confirms your profile and names your top two strengths and your top two growth edges.</v>
      </c>
      <c r="C26" s="31"/>
      <c r="D26" s="31"/>
      <c r="E26" s="31"/>
      <c r="F26" s="31"/>
      <c r="G26" s="1"/>
      <c r="H26" s="1"/>
      <c r="I26" s="1"/>
      <c r="J26" s="1"/>
      <c r="K26" s="1"/>
      <c r="L26" s="1"/>
    </row>
  </sheetData>
  <mergeCells count="14">
    <mergeCell ref="B6:F6"/>
    <mergeCell ref="E8:F8"/>
    <mergeCell ref="E9:F9"/>
    <mergeCell ref="E10:F10"/>
    <mergeCell ref="E11:F11"/>
    <mergeCell ref="E12:F12"/>
    <mergeCell ref="E13:F13"/>
    <mergeCell ref="B17:F17"/>
    <mergeCell ref="D19:F19"/>
    <mergeCell ref="B20:F20"/>
    <mergeCell ref="C21:F21"/>
    <mergeCell ref="C22:F22"/>
    <mergeCell ref="B23:F23"/>
    <mergeCell ref="B26:F26"/>
  </mergeCells>
  <conditionalFormatting sqref="C9:C13">
    <cfRule type="colorScale" priority="2">
      <colorScale>
        <cfvo type="num" val="0"/>
        <cfvo type="num" val="100"/>
        <color rgb="FFFFFFFF"/>
        <color rgb="FFF2C46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52"/>
    <col collapsed="false" customWidth="true" hidden="false" outlineLevel="0" max="4" min="4" style="0" width="14"/>
    <col collapsed="false" customWidth="true" hidden="false" outlineLevel="0" max="5" min="5" style="0" width="4"/>
    <col collapsed="false" customWidth="true" hidden="false" outlineLevel="0" max="6" min="6" style="0" width="22"/>
    <col collapsed="false" customWidth="true" hidden="false" outlineLevel="0" max="7" min="7" style="0" width="7"/>
    <col collapsed="false" customWidth="true" hidden="false" outlineLevel="0" max="8" min="8" style="0" width="8"/>
    <col collapsed="false" customWidth="true" hidden="false" outlineLevel="0" max="9" min="9" style="0" width="30"/>
  </cols>
  <sheetData>
    <row r="1" customFormat="false" ht="15" hidden="false" customHeight="false" outlineLevel="0" collapsed="false">
      <c r="A1" s="1"/>
      <c r="B1" s="1"/>
      <c r="C1" s="1"/>
      <c r="D1" s="1"/>
      <c r="E1" s="1"/>
      <c r="F1" s="1"/>
      <c r="G1" s="1"/>
      <c r="H1" s="1"/>
      <c r="I1" s="1"/>
    </row>
    <row r="2" customFormat="false" ht="22.05" hidden="false" customHeight="false" outlineLevel="0" collapsed="false">
      <c r="A2" s="1"/>
      <c r="B2" s="2" t="s">
        <v>88</v>
      </c>
      <c r="C2" s="1"/>
      <c r="D2" s="1"/>
      <c r="E2" s="1"/>
      <c r="F2" s="1"/>
      <c r="G2" s="1"/>
      <c r="H2" s="1"/>
      <c r="I2" s="1"/>
    </row>
    <row r="3" customFormat="false" ht="15" hidden="false" customHeight="false" outlineLevel="0" collapsed="false">
      <c r="A3" s="1"/>
      <c r="B3" s="5" t="s">
        <v>89</v>
      </c>
      <c r="C3" s="1"/>
      <c r="D3" s="1"/>
      <c r="E3" s="1"/>
      <c r="F3" s="1"/>
      <c r="G3" s="1"/>
      <c r="H3" s="1"/>
      <c r="I3" s="1"/>
    </row>
    <row r="4" customFormat="false" ht="15" hidden="false" customHeight="false" outlineLevel="0" collapsed="false">
      <c r="A4" s="1"/>
      <c r="B4" s="1"/>
      <c r="C4" s="6" t="s">
        <v>19</v>
      </c>
      <c r="D4" s="1"/>
      <c r="E4" s="1"/>
      <c r="F4" s="1"/>
      <c r="G4" s="1"/>
      <c r="H4" s="1"/>
      <c r="I4" s="1"/>
    </row>
    <row r="5" customFormat="false" ht="15" hidden="false" customHeight="false" outlineLevel="0" collapsed="false">
      <c r="A5" s="1"/>
      <c r="B5" s="1"/>
      <c r="C5" s="1"/>
      <c r="D5" s="1"/>
      <c r="E5" s="1"/>
      <c r="F5" s="7" t="s">
        <v>20</v>
      </c>
      <c r="G5" s="1"/>
      <c r="H5" s="1"/>
      <c r="I5" s="1"/>
    </row>
    <row r="6" customFormat="false" ht="15" hidden="false" customHeight="false" outlineLevel="0" collapsed="false">
      <c r="A6" s="1"/>
      <c r="B6" s="8" t="s">
        <v>21</v>
      </c>
      <c r="C6" s="8" t="s">
        <v>22</v>
      </c>
      <c r="D6" s="8" t="s">
        <v>23</v>
      </c>
      <c r="E6" s="1"/>
      <c r="F6" s="9" t="s">
        <v>90</v>
      </c>
      <c r="G6" s="9" t="s">
        <v>25</v>
      </c>
      <c r="H6" s="9" t="s">
        <v>26</v>
      </c>
      <c r="I6" s="9" t="s">
        <v>27</v>
      </c>
    </row>
    <row r="7" customFormat="false" ht="21.75" hidden="false" customHeight="true" outlineLevel="0" collapsed="false">
      <c r="A7" s="1"/>
      <c r="B7" s="10" t="n">
        <v>21</v>
      </c>
      <c r="C7" s="11" t="s">
        <v>91</v>
      </c>
      <c r="D7" s="12" t="n">
        <v>5</v>
      </c>
      <c r="E7" s="1"/>
      <c r="F7" s="13" t="s">
        <v>92</v>
      </c>
      <c r="G7" s="13" t="s">
        <v>30</v>
      </c>
      <c r="H7" s="13" t="n">
        <f aca="false">IF(D7="","",IF(G7="+",D7,6-D7))</f>
        <v>5</v>
      </c>
      <c r="I7" s="13" t="s">
        <v>93</v>
      </c>
    </row>
    <row r="8" customFormat="false" ht="21.75" hidden="false" customHeight="true" outlineLevel="0" collapsed="false">
      <c r="A8" s="1"/>
      <c r="B8" s="10" t="n">
        <v>22</v>
      </c>
      <c r="C8" s="11" t="s">
        <v>94</v>
      </c>
      <c r="D8" s="12" t="n">
        <v>4</v>
      </c>
      <c r="E8" s="1"/>
      <c r="F8" s="13" t="s">
        <v>95</v>
      </c>
      <c r="G8" s="13" t="s">
        <v>30</v>
      </c>
      <c r="H8" s="13" t="n">
        <f aca="false">IF(D8="","",IF(G8="+",D8,6-D8))</f>
        <v>4</v>
      </c>
      <c r="I8" s="13" t="s">
        <v>93</v>
      </c>
    </row>
    <row r="9" customFormat="false" ht="21.75" hidden="false" customHeight="true" outlineLevel="0" collapsed="false">
      <c r="A9" s="1"/>
      <c r="B9" s="10" t="n">
        <v>23</v>
      </c>
      <c r="C9" s="11" t="s">
        <v>96</v>
      </c>
      <c r="D9" s="12" t="n">
        <v>4</v>
      </c>
      <c r="E9" s="1"/>
      <c r="F9" s="13" t="s">
        <v>97</v>
      </c>
      <c r="G9" s="13" t="s">
        <v>30</v>
      </c>
      <c r="H9" s="13" t="n">
        <f aca="false">IF(D9="","",IF(G9="+",D9,6-D9))</f>
        <v>4</v>
      </c>
      <c r="I9" s="13" t="s">
        <v>93</v>
      </c>
    </row>
    <row r="10" customFormat="false" ht="21.75" hidden="false" customHeight="true" outlineLevel="0" collapsed="false">
      <c r="A10" s="1"/>
      <c r="B10" s="10" t="n">
        <v>24</v>
      </c>
      <c r="C10" s="11" t="s">
        <v>98</v>
      </c>
      <c r="D10" s="12" t="n">
        <v>5</v>
      </c>
      <c r="E10" s="1"/>
      <c r="F10" s="13" t="s">
        <v>39</v>
      </c>
      <c r="G10" s="13" t="s">
        <v>30</v>
      </c>
      <c r="H10" s="13" t="n">
        <f aca="false">IF(D10="","",IF(G10="+",D10,6-D10))</f>
        <v>5</v>
      </c>
      <c r="I10" s="13" t="s">
        <v>93</v>
      </c>
    </row>
    <row r="11" customFormat="false" ht="21.75" hidden="false" customHeight="true" outlineLevel="0" collapsed="false">
      <c r="A11" s="1"/>
      <c r="B11" s="10" t="n">
        <v>25</v>
      </c>
      <c r="C11" s="11" t="s">
        <v>99</v>
      </c>
      <c r="D11" s="12" t="n">
        <v>3</v>
      </c>
      <c r="E11" s="1"/>
      <c r="F11" s="13" t="s">
        <v>100</v>
      </c>
      <c r="G11" s="13" t="s">
        <v>30</v>
      </c>
      <c r="H11" s="13" t="n">
        <f aca="false">IF(D11="","",IF(G11="+",D11,6-D11))</f>
        <v>3</v>
      </c>
      <c r="I11" s="13" t="s">
        <v>93</v>
      </c>
    </row>
    <row r="12" customFormat="false" ht="21.75" hidden="false" customHeight="true" outlineLevel="0" collapsed="false">
      <c r="A12" s="1"/>
      <c r="B12" s="10" t="n">
        <v>26</v>
      </c>
      <c r="C12" s="11" t="s">
        <v>101</v>
      </c>
      <c r="D12" s="12" t="n">
        <v>2</v>
      </c>
      <c r="E12" s="1"/>
      <c r="F12" s="13" t="s">
        <v>102</v>
      </c>
      <c r="G12" s="13" t="s">
        <v>30</v>
      </c>
      <c r="H12" s="13" t="n">
        <f aca="false">IF(D12="","",IF(G12="+",D12,6-D12))</f>
        <v>2</v>
      </c>
      <c r="I12" s="13" t="s">
        <v>93</v>
      </c>
    </row>
    <row r="13" customFormat="false" ht="21.75" hidden="false" customHeight="true" outlineLevel="0" collapsed="false">
      <c r="A13" s="1"/>
      <c r="B13" s="10" t="n">
        <v>27</v>
      </c>
      <c r="C13" s="11" t="s">
        <v>103</v>
      </c>
      <c r="D13" s="12" t="n">
        <v>4</v>
      </c>
      <c r="E13" s="1"/>
      <c r="F13" s="13" t="s">
        <v>104</v>
      </c>
      <c r="G13" s="13" t="s">
        <v>30</v>
      </c>
      <c r="H13" s="13" t="n">
        <f aca="false">IF(D13="","",IF(G13="+",D13,6-D13))</f>
        <v>4</v>
      </c>
      <c r="I13" s="13" t="s">
        <v>93</v>
      </c>
    </row>
    <row r="14" customFormat="false" ht="21.75" hidden="false" customHeight="true" outlineLevel="0" collapsed="false">
      <c r="A14" s="1"/>
      <c r="B14" s="10" t="n">
        <v>28</v>
      </c>
      <c r="C14" s="11" t="s">
        <v>105</v>
      </c>
      <c r="D14" s="12" t="n">
        <v>5</v>
      </c>
      <c r="E14" s="1"/>
      <c r="F14" s="13" t="s">
        <v>106</v>
      </c>
      <c r="G14" s="13" t="s">
        <v>30</v>
      </c>
      <c r="H14" s="13" t="n">
        <f aca="false">IF(D14="","",IF(G14="+",D14,6-D14))</f>
        <v>5</v>
      </c>
      <c r="I14" s="13" t="s">
        <v>93</v>
      </c>
    </row>
    <row r="15" customFormat="false" ht="21.75" hidden="false" customHeight="true" outlineLevel="0" collapsed="false">
      <c r="A15" s="1"/>
      <c r="B15" s="10" t="n">
        <v>29</v>
      </c>
      <c r="C15" s="11" t="s">
        <v>107</v>
      </c>
      <c r="D15" s="12" t="n">
        <v>3</v>
      </c>
      <c r="E15" s="1"/>
      <c r="F15" s="13" t="s">
        <v>108</v>
      </c>
      <c r="G15" s="13" t="s">
        <v>30</v>
      </c>
      <c r="H15" s="13" t="n">
        <f aca="false">IF(D15="","",IF(G15="+",D15,6-D15))</f>
        <v>3</v>
      </c>
      <c r="I15" s="13" t="s">
        <v>93</v>
      </c>
    </row>
    <row r="16" customFormat="false" ht="21.75" hidden="false" customHeight="true" outlineLevel="0" collapsed="false">
      <c r="A16" s="1"/>
      <c r="B16" s="10" t="n">
        <v>30</v>
      </c>
      <c r="C16" s="11" t="s">
        <v>109</v>
      </c>
      <c r="D16" s="12" t="n">
        <v>4</v>
      </c>
      <c r="E16" s="1"/>
      <c r="F16" s="13" t="s">
        <v>110</v>
      </c>
      <c r="G16" s="13" t="s">
        <v>30</v>
      </c>
      <c r="H16" s="13" t="n">
        <f aca="false">IF(D16="","",IF(G16="+",D16,6-D16))</f>
        <v>4</v>
      </c>
      <c r="I16" s="13" t="s">
        <v>93</v>
      </c>
    </row>
    <row r="17" customFormat="false" ht="21.75" hidden="false" customHeight="true" outlineLevel="0" collapsed="false">
      <c r="A17" s="1"/>
      <c r="B17" s="10" t="n">
        <v>31</v>
      </c>
      <c r="C17" s="11" t="s">
        <v>111</v>
      </c>
      <c r="D17" s="12" t="n">
        <v>4</v>
      </c>
      <c r="E17" s="1"/>
      <c r="F17" s="13" t="s">
        <v>92</v>
      </c>
      <c r="G17" s="13" t="s">
        <v>30</v>
      </c>
      <c r="H17" s="13" t="n">
        <f aca="false">IF(D17="","",IF(G17="+",D17,6-D17))</f>
        <v>4</v>
      </c>
      <c r="I17" s="13" t="s">
        <v>93</v>
      </c>
    </row>
    <row r="18" customFormat="false" ht="21.75" hidden="false" customHeight="true" outlineLevel="0" collapsed="false">
      <c r="A18" s="1"/>
      <c r="B18" s="10" t="n">
        <v>32</v>
      </c>
      <c r="C18" s="11" t="s">
        <v>112</v>
      </c>
      <c r="D18" s="12" t="n">
        <v>4</v>
      </c>
      <c r="E18" s="1"/>
      <c r="F18" s="13" t="s">
        <v>95</v>
      </c>
      <c r="G18" s="13" t="s">
        <v>30</v>
      </c>
      <c r="H18" s="13" t="n">
        <f aca="false">IF(D18="","",IF(G18="+",D18,6-D18))</f>
        <v>4</v>
      </c>
      <c r="I18" s="13" t="s">
        <v>93</v>
      </c>
    </row>
    <row r="19" customFormat="false" ht="21.75" hidden="false" customHeight="true" outlineLevel="0" collapsed="false">
      <c r="A19" s="1"/>
      <c r="B19" s="10" t="n">
        <v>33</v>
      </c>
      <c r="C19" s="11" t="s">
        <v>113</v>
      </c>
      <c r="D19" s="12" t="n">
        <v>4</v>
      </c>
      <c r="E19" s="1"/>
      <c r="F19" s="13" t="s">
        <v>97</v>
      </c>
      <c r="G19" s="13" t="s">
        <v>30</v>
      </c>
      <c r="H19" s="13" t="n">
        <f aca="false">IF(D19="","",IF(G19="+",D19,6-D19))</f>
        <v>4</v>
      </c>
      <c r="I19" s="13" t="s">
        <v>93</v>
      </c>
    </row>
    <row r="20" customFormat="false" ht="21.75" hidden="false" customHeight="true" outlineLevel="0" collapsed="false">
      <c r="A20" s="1"/>
      <c r="B20" s="10" t="n">
        <v>34</v>
      </c>
      <c r="C20" s="11" t="s">
        <v>114</v>
      </c>
      <c r="D20" s="12" t="n">
        <v>4</v>
      </c>
      <c r="E20" s="1"/>
      <c r="F20" s="13" t="s">
        <v>39</v>
      </c>
      <c r="G20" s="13" t="s">
        <v>30</v>
      </c>
      <c r="H20" s="13" t="n">
        <f aca="false">IF(D20="","",IF(G20="+",D20,6-D20))</f>
        <v>4</v>
      </c>
      <c r="I20" s="13" t="s">
        <v>93</v>
      </c>
    </row>
    <row r="21" customFormat="false" ht="21.75" hidden="false" customHeight="true" outlineLevel="0" collapsed="false">
      <c r="A21" s="1"/>
      <c r="B21" s="10" t="n">
        <v>35</v>
      </c>
      <c r="C21" s="11" t="s">
        <v>115</v>
      </c>
      <c r="D21" s="12" t="n">
        <v>3</v>
      </c>
      <c r="E21" s="1"/>
      <c r="F21" s="13" t="s">
        <v>100</v>
      </c>
      <c r="G21" s="13" t="s">
        <v>30</v>
      </c>
      <c r="H21" s="13" t="n">
        <f aca="false">IF(D21="","",IF(G21="+",D21,6-D21))</f>
        <v>3</v>
      </c>
      <c r="I21" s="13" t="s">
        <v>93</v>
      </c>
    </row>
    <row r="22" customFormat="false" ht="21.75" hidden="false" customHeight="true" outlineLevel="0" collapsed="false">
      <c r="A22" s="1"/>
      <c r="B22" s="10" t="n">
        <v>36</v>
      </c>
      <c r="C22" s="11" t="s">
        <v>116</v>
      </c>
      <c r="D22" s="12" t="n">
        <v>3</v>
      </c>
      <c r="E22" s="1"/>
      <c r="F22" s="13" t="s">
        <v>102</v>
      </c>
      <c r="G22" s="13" t="s">
        <v>30</v>
      </c>
      <c r="H22" s="13" t="n">
        <f aca="false">IF(D22="","",IF(G22="+",D22,6-D22))</f>
        <v>3</v>
      </c>
      <c r="I22" s="13" t="s">
        <v>93</v>
      </c>
    </row>
    <row r="23" customFormat="false" ht="21.75" hidden="false" customHeight="true" outlineLevel="0" collapsed="false">
      <c r="A23" s="1"/>
      <c r="B23" s="10" t="n">
        <v>37</v>
      </c>
      <c r="C23" s="11" t="s">
        <v>117</v>
      </c>
      <c r="D23" s="12" t="n">
        <v>4</v>
      </c>
      <c r="E23" s="1"/>
      <c r="F23" s="13" t="s">
        <v>104</v>
      </c>
      <c r="G23" s="13" t="s">
        <v>30</v>
      </c>
      <c r="H23" s="13" t="n">
        <f aca="false">IF(D23="","",IF(G23="+",D23,6-D23))</f>
        <v>4</v>
      </c>
      <c r="I23" s="13" t="s">
        <v>93</v>
      </c>
    </row>
    <row r="24" customFormat="false" ht="21.75" hidden="false" customHeight="true" outlineLevel="0" collapsed="false">
      <c r="A24" s="1"/>
      <c r="B24" s="10" t="n">
        <v>38</v>
      </c>
      <c r="C24" s="11" t="s">
        <v>118</v>
      </c>
      <c r="D24" s="12" t="n">
        <v>4</v>
      </c>
      <c r="E24" s="1"/>
      <c r="F24" s="13" t="s">
        <v>106</v>
      </c>
      <c r="G24" s="13" t="s">
        <v>30</v>
      </c>
      <c r="H24" s="13" t="n">
        <f aca="false">IF(D24="","",IF(G24="+",D24,6-D24))</f>
        <v>4</v>
      </c>
      <c r="I24" s="13" t="s">
        <v>93</v>
      </c>
    </row>
    <row r="25" customFormat="false" ht="21.75" hidden="false" customHeight="true" outlineLevel="0" collapsed="false">
      <c r="A25" s="1"/>
      <c r="B25" s="10" t="n">
        <v>39</v>
      </c>
      <c r="C25" s="11" t="s">
        <v>119</v>
      </c>
      <c r="D25" s="12" t="n">
        <v>3</v>
      </c>
      <c r="E25" s="1"/>
      <c r="F25" s="13" t="s">
        <v>108</v>
      </c>
      <c r="G25" s="13" t="s">
        <v>30</v>
      </c>
      <c r="H25" s="13" t="n">
        <f aca="false">IF(D25="","",IF(G25="+",D25,6-D25))</f>
        <v>3</v>
      </c>
      <c r="I25" s="13" t="s">
        <v>93</v>
      </c>
    </row>
    <row r="26" customFormat="false" ht="21.75" hidden="false" customHeight="true" outlineLevel="0" collapsed="false">
      <c r="A26" s="1"/>
      <c r="B26" s="10" t="n">
        <v>40</v>
      </c>
      <c r="C26" s="11" t="s">
        <v>120</v>
      </c>
      <c r="D26" s="12" t="n">
        <v>3</v>
      </c>
      <c r="E26" s="1"/>
      <c r="F26" s="13" t="s">
        <v>110</v>
      </c>
      <c r="G26" s="13" t="s">
        <v>30</v>
      </c>
      <c r="H26" s="13" t="n">
        <f aca="false">IF(D26="","",IF(G26="+",D26,6-D26))</f>
        <v>3</v>
      </c>
      <c r="I26" s="13" t="s">
        <v>93</v>
      </c>
    </row>
    <row r="27" customFormat="false" ht="21.75" hidden="false" customHeight="true" outlineLevel="0" collapsed="false">
      <c r="A27" s="1"/>
      <c r="B27" s="10" t="n">
        <v>41</v>
      </c>
      <c r="C27" s="11" t="s">
        <v>121</v>
      </c>
      <c r="D27" s="12" t="n">
        <v>1</v>
      </c>
      <c r="E27" s="1"/>
      <c r="F27" s="13" t="s">
        <v>92</v>
      </c>
      <c r="G27" s="13" t="s">
        <v>41</v>
      </c>
      <c r="H27" s="13" t="n">
        <f aca="false">IF(D27="","",IF(G27="+",D27,6-D27))</f>
        <v>5</v>
      </c>
      <c r="I27" s="13" t="s">
        <v>93</v>
      </c>
    </row>
    <row r="28" customFormat="false" ht="21.75" hidden="false" customHeight="true" outlineLevel="0" collapsed="false">
      <c r="A28" s="1"/>
      <c r="B28" s="10" t="n">
        <v>42</v>
      </c>
      <c r="C28" s="11" t="s">
        <v>122</v>
      </c>
      <c r="D28" s="12" t="n">
        <v>3</v>
      </c>
      <c r="E28" s="1"/>
      <c r="F28" s="13" t="s">
        <v>95</v>
      </c>
      <c r="G28" s="13" t="s">
        <v>41</v>
      </c>
      <c r="H28" s="13" t="n">
        <f aca="false">IF(D28="","",IF(G28="+",D28,6-D28))</f>
        <v>3</v>
      </c>
      <c r="I28" s="13" t="s">
        <v>93</v>
      </c>
    </row>
    <row r="29" customFormat="false" ht="21.75" hidden="false" customHeight="true" outlineLevel="0" collapsed="false">
      <c r="A29" s="1"/>
      <c r="B29" s="10" t="n">
        <v>43</v>
      </c>
      <c r="C29" s="11" t="s">
        <v>123</v>
      </c>
      <c r="D29" s="12" t="n">
        <v>2</v>
      </c>
      <c r="E29" s="1"/>
      <c r="F29" s="13" t="s">
        <v>97</v>
      </c>
      <c r="G29" s="13" t="s">
        <v>41</v>
      </c>
      <c r="H29" s="13" t="n">
        <f aca="false">IF(D29="","",IF(G29="+",D29,6-D29))</f>
        <v>4</v>
      </c>
      <c r="I29" s="13" t="s">
        <v>93</v>
      </c>
    </row>
    <row r="30" customFormat="false" ht="21.75" hidden="false" customHeight="true" outlineLevel="0" collapsed="false">
      <c r="A30" s="1"/>
      <c r="B30" s="10" t="n">
        <v>44</v>
      </c>
      <c r="C30" s="11" t="s">
        <v>124</v>
      </c>
      <c r="D30" s="12" t="n">
        <v>2</v>
      </c>
      <c r="E30" s="1"/>
      <c r="F30" s="13" t="s">
        <v>39</v>
      </c>
      <c r="G30" s="13" t="s">
        <v>41</v>
      </c>
      <c r="H30" s="13" t="n">
        <f aca="false">IF(D30="","",IF(G30="+",D30,6-D30))</f>
        <v>4</v>
      </c>
      <c r="I30" s="13" t="s">
        <v>93</v>
      </c>
    </row>
    <row r="31" customFormat="false" ht="21.75" hidden="false" customHeight="true" outlineLevel="0" collapsed="false">
      <c r="A31" s="1"/>
      <c r="B31" s="10" t="n">
        <v>45</v>
      </c>
      <c r="C31" s="11" t="s">
        <v>125</v>
      </c>
      <c r="D31" s="12" t="n">
        <v>3</v>
      </c>
      <c r="E31" s="1"/>
      <c r="F31" s="13" t="s">
        <v>100</v>
      </c>
      <c r="G31" s="13" t="s">
        <v>41</v>
      </c>
      <c r="H31" s="13" t="n">
        <f aca="false">IF(D31="","",IF(G31="+",D31,6-D31))</f>
        <v>3</v>
      </c>
      <c r="I31" s="13" t="s">
        <v>93</v>
      </c>
    </row>
    <row r="32" customFormat="false" ht="21.75" hidden="false" customHeight="true" outlineLevel="0" collapsed="false">
      <c r="A32" s="1"/>
      <c r="B32" s="10" t="n">
        <v>46</v>
      </c>
      <c r="C32" s="11" t="s">
        <v>126</v>
      </c>
      <c r="D32" s="12" t="n">
        <v>4</v>
      </c>
      <c r="E32" s="1"/>
      <c r="F32" s="13" t="s">
        <v>102</v>
      </c>
      <c r="G32" s="13" t="s">
        <v>41</v>
      </c>
      <c r="H32" s="13" t="n">
        <f aca="false">IF(D32="","",IF(G32="+",D32,6-D32))</f>
        <v>2</v>
      </c>
      <c r="I32" s="13" t="s">
        <v>93</v>
      </c>
    </row>
    <row r="33" customFormat="false" ht="21.75" hidden="false" customHeight="true" outlineLevel="0" collapsed="false">
      <c r="A33" s="1"/>
      <c r="B33" s="10" t="n">
        <v>47</v>
      </c>
      <c r="C33" s="11" t="s">
        <v>127</v>
      </c>
      <c r="D33" s="12" t="n">
        <v>2</v>
      </c>
      <c r="E33" s="1"/>
      <c r="F33" s="13" t="s">
        <v>104</v>
      </c>
      <c r="G33" s="13" t="s">
        <v>41</v>
      </c>
      <c r="H33" s="13" t="n">
        <f aca="false">IF(D33="","",IF(G33="+",D33,6-D33))</f>
        <v>4</v>
      </c>
      <c r="I33" s="13" t="s">
        <v>93</v>
      </c>
    </row>
    <row r="34" customFormat="false" ht="21.75" hidden="false" customHeight="true" outlineLevel="0" collapsed="false">
      <c r="A34" s="1"/>
      <c r="B34" s="10" t="n">
        <v>48</v>
      </c>
      <c r="C34" s="11" t="s">
        <v>128</v>
      </c>
      <c r="D34" s="12" t="n">
        <v>2</v>
      </c>
      <c r="E34" s="1"/>
      <c r="F34" s="13" t="s">
        <v>106</v>
      </c>
      <c r="G34" s="13" t="s">
        <v>41</v>
      </c>
      <c r="H34" s="13" t="n">
        <f aca="false">IF(D34="","",IF(G34="+",D34,6-D34))</f>
        <v>4</v>
      </c>
      <c r="I34" s="13" t="s">
        <v>93</v>
      </c>
    </row>
    <row r="35" customFormat="false" ht="21.75" hidden="false" customHeight="true" outlineLevel="0" collapsed="false">
      <c r="A35" s="1"/>
      <c r="B35" s="10" t="n">
        <v>49</v>
      </c>
      <c r="C35" s="11" t="s">
        <v>129</v>
      </c>
      <c r="D35" s="12" t="n">
        <v>3</v>
      </c>
      <c r="E35" s="1"/>
      <c r="F35" s="13" t="s">
        <v>108</v>
      </c>
      <c r="G35" s="13" t="s">
        <v>41</v>
      </c>
      <c r="H35" s="13" t="n">
        <f aca="false">IF(D35="","",IF(G35="+",D35,6-D35))</f>
        <v>3</v>
      </c>
      <c r="I35" s="13" t="s">
        <v>93</v>
      </c>
    </row>
    <row r="36" customFormat="false" ht="21.75" hidden="false" customHeight="true" outlineLevel="0" collapsed="false">
      <c r="A36" s="1"/>
      <c r="B36" s="10" t="n">
        <v>50</v>
      </c>
      <c r="C36" s="11" t="s">
        <v>130</v>
      </c>
      <c r="D36" s="12" t="n">
        <v>2</v>
      </c>
      <c r="E36" s="1"/>
      <c r="F36" s="13" t="s">
        <v>110</v>
      </c>
      <c r="G36" s="13" t="s">
        <v>41</v>
      </c>
      <c r="H36" s="13" t="n">
        <f aca="false">IF(D36="","",IF(G36="+",D36,6-D36))</f>
        <v>4</v>
      </c>
      <c r="I36" s="13" t="s">
        <v>93</v>
      </c>
    </row>
    <row r="37" customFormat="false" ht="21.75" hidden="false" customHeight="true" outlineLevel="0" collapsed="false">
      <c r="A37" s="1"/>
      <c r="B37" s="10" t="n">
        <v>51</v>
      </c>
      <c r="C37" s="11" t="s">
        <v>131</v>
      </c>
      <c r="D37" s="12" t="n">
        <v>2</v>
      </c>
      <c r="E37" s="1"/>
      <c r="F37" s="13" t="s">
        <v>92</v>
      </c>
      <c r="G37" s="13" t="s">
        <v>41</v>
      </c>
      <c r="H37" s="13" t="n">
        <f aca="false">IF(D37="","",IF(G37="+",D37,6-D37))</f>
        <v>4</v>
      </c>
      <c r="I37" s="13" t="s">
        <v>93</v>
      </c>
    </row>
    <row r="38" customFormat="false" ht="21.75" hidden="false" customHeight="true" outlineLevel="0" collapsed="false">
      <c r="A38" s="1"/>
      <c r="B38" s="10" t="n">
        <v>52</v>
      </c>
      <c r="C38" s="11" t="s">
        <v>132</v>
      </c>
      <c r="D38" s="12" t="n">
        <v>3</v>
      </c>
      <c r="E38" s="1"/>
      <c r="F38" s="13" t="s">
        <v>95</v>
      </c>
      <c r="G38" s="13" t="s">
        <v>41</v>
      </c>
      <c r="H38" s="13" t="n">
        <f aca="false">IF(D38="","",IF(G38="+",D38,6-D38))</f>
        <v>3</v>
      </c>
      <c r="I38" s="13" t="s">
        <v>93</v>
      </c>
    </row>
    <row r="39" customFormat="false" ht="21.75" hidden="false" customHeight="true" outlineLevel="0" collapsed="false">
      <c r="A39" s="1"/>
      <c r="B39" s="10" t="n">
        <v>53</v>
      </c>
      <c r="C39" s="11" t="s">
        <v>133</v>
      </c>
      <c r="D39" s="12" t="n">
        <v>2</v>
      </c>
      <c r="E39" s="1"/>
      <c r="F39" s="13" t="s">
        <v>97</v>
      </c>
      <c r="G39" s="13" t="s">
        <v>41</v>
      </c>
      <c r="H39" s="13" t="n">
        <f aca="false">IF(D39="","",IF(G39="+",D39,6-D39))</f>
        <v>4</v>
      </c>
      <c r="I39" s="13" t="s">
        <v>93</v>
      </c>
    </row>
    <row r="40" customFormat="false" ht="21.75" hidden="false" customHeight="true" outlineLevel="0" collapsed="false">
      <c r="A40" s="1"/>
      <c r="B40" s="10" t="n">
        <v>54</v>
      </c>
      <c r="C40" s="11" t="s">
        <v>134</v>
      </c>
      <c r="D40" s="12" t="n">
        <v>2</v>
      </c>
      <c r="E40" s="1"/>
      <c r="F40" s="13" t="s">
        <v>39</v>
      </c>
      <c r="G40" s="13" t="s">
        <v>41</v>
      </c>
      <c r="H40" s="13" t="n">
        <f aca="false">IF(D40="","",IF(G40="+",D40,6-D40))</f>
        <v>4</v>
      </c>
      <c r="I40" s="13" t="s">
        <v>93</v>
      </c>
    </row>
    <row r="41" customFormat="false" ht="21.75" hidden="false" customHeight="true" outlineLevel="0" collapsed="false">
      <c r="A41" s="1"/>
      <c r="B41" s="10" t="n">
        <v>55</v>
      </c>
      <c r="C41" s="11" t="s">
        <v>135</v>
      </c>
      <c r="D41" s="12" t="n">
        <v>3</v>
      </c>
      <c r="E41" s="1"/>
      <c r="F41" s="13" t="s">
        <v>100</v>
      </c>
      <c r="G41" s="13" t="s">
        <v>41</v>
      </c>
      <c r="H41" s="13" t="n">
        <f aca="false">IF(D41="","",IF(G41="+",D41,6-D41))</f>
        <v>3</v>
      </c>
      <c r="I41" s="13" t="s">
        <v>93</v>
      </c>
    </row>
    <row r="42" customFormat="false" ht="21.75" hidden="false" customHeight="true" outlineLevel="0" collapsed="false">
      <c r="A42" s="1"/>
      <c r="B42" s="10" t="n">
        <v>56</v>
      </c>
      <c r="C42" s="11" t="s">
        <v>136</v>
      </c>
      <c r="D42" s="12" t="n">
        <v>4</v>
      </c>
      <c r="E42" s="1"/>
      <c r="F42" s="13" t="s">
        <v>102</v>
      </c>
      <c r="G42" s="13" t="s">
        <v>41</v>
      </c>
      <c r="H42" s="13" t="n">
        <f aca="false">IF(D42="","",IF(G42="+",D42,6-D42))</f>
        <v>2</v>
      </c>
      <c r="I42" s="13" t="s">
        <v>93</v>
      </c>
    </row>
    <row r="43" customFormat="false" ht="21.75" hidden="false" customHeight="true" outlineLevel="0" collapsed="false">
      <c r="A43" s="1"/>
      <c r="B43" s="10" t="n">
        <v>57</v>
      </c>
      <c r="C43" s="11" t="s">
        <v>137</v>
      </c>
      <c r="D43" s="12" t="n">
        <v>2</v>
      </c>
      <c r="E43" s="1"/>
      <c r="F43" s="13" t="s">
        <v>104</v>
      </c>
      <c r="G43" s="13" t="s">
        <v>41</v>
      </c>
      <c r="H43" s="13" t="n">
        <f aca="false">IF(D43="","",IF(G43="+",D43,6-D43))</f>
        <v>4</v>
      </c>
      <c r="I43" s="13" t="s">
        <v>93</v>
      </c>
    </row>
    <row r="44" customFormat="false" ht="21.75" hidden="false" customHeight="true" outlineLevel="0" collapsed="false">
      <c r="A44" s="1"/>
      <c r="B44" s="10" t="n">
        <v>58</v>
      </c>
      <c r="C44" s="11" t="s">
        <v>138</v>
      </c>
      <c r="D44" s="12" t="n">
        <v>2</v>
      </c>
      <c r="E44" s="1"/>
      <c r="F44" s="13" t="s">
        <v>106</v>
      </c>
      <c r="G44" s="13" t="s">
        <v>41</v>
      </c>
      <c r="H44" s="13" t="n">
        <f aca="false">IF(D44="","",IF(G44="+",D44,6-D44))</f>
        <v>4</v>
      </c>
      <c r="I44" s="13" t="s">
        <v>93</v>
      </c>
    </row>
    <row r="45" customFormat="false" ht="21.75" hidden="false" customHeight="true" outlineLevel="0" collapsed="false">
      <c r="A45" s="1"/>
      <c r="B45" s="10" t="n">
        <v>59</v>
      </c>
      <c r="C45" s="11" t="s">
        <v>139</v>
      </c>
      <c r="D45" s="12" t="n">
        <v>2</v>
      </c>
      <c r="E45" s="1"/>
      <c r="F45" s="13" t="s">
        <v>108</v>
      </c>
      <c r="G45" s="13" t="s">
        <v>41</v>
      </c>
      <c r="H45" s="13" t="n">
        <f aca="false">IF(D45="","",IF(G45="+",D45,6-D45))</f>
        <v>4</v>
      </c>
      <c r="I45" s="13" t="s">
        <v>93</v>
      </c>
    </row>
    <row r="46" customFormat="false" ht="21.75" hidden="false" customHeight="true" outlineLevel="0" collapsed="false">
      <c r="A46" s="1"/>
      <c r="B46" s="10" t="n">
        <v>60</v>
      </c>
      <c r="C46" s="11" t="s">
        <v>140</v>
      </c>
      <c r="D46" s="12" t="n">
        <v>2</v>
      </c>
      <c r="E46" s="1"/>
      <c r="F46" s="13" t="s">
        <v>110</v>
      </c>
      <c r="G46" s="13" t="s">
        <v>41</v>
      </c>
      <c r="H46" s="13" t="n">
        <f aca="false">IF(D46="","",IF(G46="+",D46,6-D46))</f>
        <v>4</v>
      </c>
      <c r="I46" s="13" t="s">
        <v>93</v>
      </c>
    </row>
  </sheetData>
  <dataValidations count="1">
    <dataValidation allowBlank="true" error="Please choose a number from 1 to 5." errorStyle="stop" errorTitle="Pick 1 to 5" operator="between" showDropDown="false" showErrorMessage="true" showInputMessage="false" sqref="D7:D46"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66"/>
    <pageSetUpPr fitToPage="fals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22"/>
    <col collapsed="false" customWidth="true" hidden="false" outlineLevel="0" max="5" min="4" style="0" width="14"/>
    <col collapsed="false" customWidth="true" hidden="false" outlineLevel="0" max="6" min="6" style="0" width="44"/>
    <col collapsed="false" customWidth="true" hidden="false" outlineLevel="0" max="7" min="7" style="0" width="30"/>
    <col collapsed="false" customWidth="true" hidden="false" outlineLevel="0" max="8" min="8" style="0" width="22"/>
    <col collapsed="false" customWidth="true" hidden="false" outlineLevel="0" max="9" min="9" style="0" width="12"/>
  </cols>
  <sheetData>
    <row r="1" customFormat="false" ht="15" hidden="false" customHeight="false" outlineLevel="0" collapsed="false">
      <c r="A1" s="1"/>
      <c r="B1" s="1"/>
      <c r="C1" s="1"/>
      <c r="D1" s="1"/>
      <c r="E1" s="1"/>
      <c r="F1" s="1"/>
      <c r="G1" s="1"/>
      <c r="H1" s="1"/>
      <c r="I1" s="1"/>
    </row>
    <row r="2" customFormat="false" ht="22.05" hidden="false" customHeight="false" outlineLevel="0" collapsed="false">
      <c r="A2" s="1"/>
      <c r="B2" s="2" t="s">
        <v>141</v>
      </c>
      <c r="C2" s="1"/>
      <c r="D2" s="1"/>
      <c r="E2" s="1"/>
      <c r="F2" s="1"/>
      <c r="G2" s="1"/>
      <c r="H2" s="1"/>
      <c r="I2" s="1"/>
    </row>
    <row r="3" customFormat="false" ht="15" hidden="false" customHeight="false" outlineLevel="0" collapsed="false">
      <c r="A3" s="1"/>
      <c r="B3" s="5" t="str">
        <f aca="false">IF(COUNT('Paid test'!$D$7:$D$46)&lt;40,"Answered "&amp;COUNT('Paid test'!$D$7:$D$46)&amp;" of 40. Finish all 40 for a complete report.","All 40 facet questions answered.")</f>
        <v>All 40 facet questions answered.</v>
      </c>
      <c r="C3" s="1"/>
      <c r="D3" s="1"/>
      <c r="E3" s="1"/>
      <c r="F3" s="1"/>
      <c r="G3" s="1"/>
      <c r="H3" s="1"/>
      <c r="I3" s="1"/>
    </row>
    <row r="4" customFormat="false" ht="15" hidden="false" customHeight="false" outlineLevel="0" collapsed="false">
      <c r="A4" s="1"/>
      <c r="B4" s="1"/>
      <c r="C4" s="1"/>
      <c r="D4" s="1"/>
      <c r="E4" s="1"/>
      <c r="F4" s="1"/>
      <c r="G4" s="1"/>
      <c r="H4" s="1"/>
      <c r="I4" s="1"/>
    </row>
    <row r="5" customFormat="false" ht="42" hidden="false" customHeight="true" outlineLevel="0" collapsed="false">
      <c r="A5" s="1"/>
      <c r="B5" s="15" t="s">
        <v>58</v>
      </c>
      <c r="C5" s="16" t="n">
        <f aca="false">IFERROR(ROUND(AVERAGE(H30:H35),0),"")</f>
        <v>71</v>
      </c>
      <c r="D5" s="32" t="str">
        <f aca="false">IFERROR(INDEX('Scoring rules'!$B$16:$B$19,MATCH(C5,'Scoring rules'!$C$16:$C$19,1)),"")</f>
        <v>Strong</v>
      </c>
      <c r="E5" s="32"/>
      <c r="F5" s="1"/>
      <c r="G5" s="14" t="str">
        <f aca="false">IF('Free result'!C5="","","Free preview score was "&amp;'Free result'!C5)</f>
        <v>Free preview score was 79</v>
      </c>
      <c r="H5" s="1"/>
      <c r="I5" s="1"/>
    </row>
    <row r="6" customFormat="false" ht="36" hidden="false" customHeight="true" outlineLevel="0" collapsed="false">
      <c r="A6" s="1"/>
      <c r="B6" s="18" t="str">
        <f aca="false">IFERROR(INDEX('Write-ups'!$E$25:$E$28,MATCH(D5,'Write-ups'!$B$25:$B$28,0)),"")</f>
        <v>Most of the habits that matter are already in place. The next gains come from sharpening one or two specific areas.</v>
      </c>
      <c r="C6" s="18"/>
      <c r="D6" s="18"/>
      <c r="E6" s="18"/>
      <c r="F6" s="18"/>
      <c r="G6" s="1"/>
      <c r="H6" s="1"/>
      <c r="I6" s="1"/>
    </row>
    <row r="7" customFormat="false" ht="15" hidden="false" customHeight="false" outlineLevel="0" collapsed="false">
      <c r="A7" s="1"/>
      <c r="B7" s="1"/>
      <c r="C7" s="1"/>
      <c r="D7" s="1"/>
      <c r="E7" s="1"/>
      <c r="F7" s="1"/>
      <c r="G7" s="9" t="s">
        <v>75</v>
      </c>
      <c r="H7" s="9" t="s">
        <v>76</v>
      </c>
      <c r="I7" s="1"/>
    </row>
    <row r="8" customFormat="false" ht="27.75" hidden="false" customHeight="true" outlineLevel="0" collapsed="false">
      <c r="A8" s="1"/>
      <c r="B8" s="15" t="s">
        <v>142</v>
      </c>
      <c r="C8" s="26" t="str">
        <f aca="false">IFERROR(INDEX('Write-ups'!$E$32:$E$37,MATCH(H15,'Write-ups'!$B$32:$B$37,0)),"")</f>
        <v>Natural leader</v>
      </c>
      <c r="D8" s="27" t="str">
        <f aca="false">IFERROR(INDEX('Write-ups'!$I$32:$I$37,MATCH(H15,'Write-ups'!$B$32:$B$37,0)),"")</f>
        <v>Decisive, confident, ambitious</v>
      </c>
      <c r="E8" s="27"/>
      <c r="F8" s="27"/>
      <c r="G8" s="7" t="s">
        <v>143</v>
      </c>
      <c r="H8" s="7" t="n">
        <f aca="false">INDEX($D$30:$D$39,MATCH("Assertiveness",$B$30:$B$39,0))</f>
        <v>75</v>
      </c>
      <c r="I8" s="1"/>
    </row>
    <row r="9" customFormat="false" ht="31.5" hidden="false" customHeight="true" outlineLevel="0" collapsed="false">
      <c r="A9" s="1"/>
      <c r="B9" s="28" t="str">
        <f aca="false">IFERROR(INDEX('Write-ups'!$H$32:$H$37,MATCH(H15,'Write-ups'!$B$32:$B$37,0)),"")</f>
        <v>You go first and set the pace. Other people often take their cue from you.</v>
      </c>
      <c r="C9" s="28"/>
      <c r="D9" s="28"/>
      <c r="E9" s="28"/>
      <c r="F9" s="28"/>
      <c r="G9" s="7" t="s">
        <v>79</v>
      </c>
      <c r="H9" s="7" t="str">
        <f aca="false">IF(H8="","",IF(H8&lt;'Scoring rules'!$C$9,"Reserved",IF(H8&gt;'Scoring rules'!$C$10,"Vocal","Balanced")))</f>
        <v>Vocal</v>
      </c>
      <c r="I9" s="1"/>
    </row>
    <row r="10" customFormat="false" ht="30" hidden="false" customHeight="true" outlineLevel="0" collapsed="false">
      <c r="A10" s="1"/>
      <c r="B10" s="33" t="s">
        <v>81</v>
      </c>
      <c r="C10" s="24" t="str">
        <f aca="false">IFERROR(INDEX('Write-ups'!$F$32:$F$37,MATCH(H15,'Write-ups'!$B$32:$B$37,0)),"")</f>
        <v>New projects and moments that need someone to go first.</v>
      </c>
      <c r="D10" s="24"/>
      <c r="E10" s="24"/>
      <c r="F10" s="24"/>
      <c r="G10" s="7" t="s">
        <v>92</v>
      </c>
      <c r="H10" s="7" t="n">
        <f aca="false">INDEX($D$30:$D$39,MATCH("Achievement-Striving",$B$30:$B$39,0))</f>
        <v>88</v>
      </c>
      <c r="I10" s="1"/>
    </row>
    <row r="11" customFormat="false" ht="30" hidden="false" customHeight="true" outlineLevel="0" collapsed="false">
      <c r="A11" s="1"/>
      <c r="B11" s="33" t="s">
        <v>83</v>
      </c>
      <c r="C11" s="24" t="str">
        <f aca="false">IFERROR(INDEX('Write-ups'!$G$32:$G$37,MATCH(H15,'Write-ups'!$B$32:$B$37,0)),"")</f>
        <v>Others may wait for you instead of stepping up. Leave room for them to lead.</v>
      </c>
      <c r="D11" s="24"/>
      <c r="E11" s="24"/>
      <c r="F11" s="24"/>
      <c r="G11" s="7" t="s">
        <v>110</v>
      </c>
      <c r="H11" s="7" t="n">
        <f aca="false">INDEX($D$30:$D$39,MATCH("Altruism",$B$30:$B$39,0))</f>
        <v>69</v>
      </c>
      <c r="I11" s="1"/>
    </row>
    <row r="12" customFormat="false" ht="27.75" hidden="false" customHeight="true" outlineLevel="0" collapsed="false">
      <c r="A12" s="1"/>
      <c r="B12" s="34" t="str">
        <f aca="false">IF(C8="","",IF(C8='Free result'!C19,"This matches your free preview.","Your free preview showed "&amp;'Free result'!C19&amp;". The facet questions refined it to "&amp;C8&amp;"."))</f>
        <v>Your free preview showed Go-getter. The facet questions refined it to Natural leader.</v>
      </c>
      <c r="C12" s="34"/>
      <c r="D12" s="34"/>
      <c r="E12" s="34"/>
      <c r="F12" s="34"/>
      <c r="G12" s="7" t="s">
        <v>84</v>
      </c>
      <c r="H12" s="7" t="str">
        <f aca="false">IF(OR(H10="",H11=""),"",IF(H10&gt;=H11,"Achievement-driven","Connection-driven"))</f>
        <v>Achievement-driven</v>
      </c>
      <c r="I12" s="1"/>
    </row>
    <row r="13" customFormat="false" ht="15" hidden="false" customHeight="false" outlineLevel="0" collapsed="false">
      <c r="A13" s="1"/>
      <c r="B13" s="1"/>
      <c r="C13" s="1"/>
      <c r="D13" s="1"/>
      <c r="E13" s="1"/>
      <c r="F13" s="1"/>
      <c r="G13" s="7" t="s">
        <v>85</v>
      </c>
      <c r="H13" s="7" t="n">
        <f aca="false">IF(OR(H10="",H11=""),"",ABS(H10-H11))</f>
        <v>19</v>
      </c>
      <c r="I13" s="1"/>
    </row>
    <row r="14" customFormat="false" ht="15" hidden="false" customHeight="false" outlineLevel="0" collapsed="false">
      <c r="A14" s="1"/>
      <c r="B14" s="15" t="s">
        <v>144</v>
      </c>
      <c r="C14" s="1"/>
      <c r="D14" s="1"/>
      <c r="E14" s="1"/>
      <c r="F14" s="1"/>
      <c r="G14" s="7" t="s">
        <v>86</v>
      </c>
      <c r="H14" s="7" t="str">
        <f aca="false">IF(H13="","",IF(H13&lt;'Scoring rules'!$C$11,"Yes","No"))</f>
        <v>No</v>
      </c>
      <c r="I14" s="1"/>
    </row>
    <row r="15" customFormat="false" ht="30" hidden="false" customHeight="true" outlineLevel="0" collapsed="false">
      <c r="A15" s="1"/>
      <c r="B15" s="35" t="str">
        <f aca="false">IFERROR(INDEX($B$30:$B$35,MATCH(LARGE($I$30:$I$35,1),$I$30:$I$35,0)),"")</f>
        <v>Achievement-Striving</v>
      </c>
      <c r="C15" s="24" t="str">
        <f aca="false">IFERROR(INDEX('Write-ups'!$E$41:$E$46,MATCH(B15,'Write-ups'!$B$41:$B$46,0)),"")</f>
        <v>You set a high bar for your own work and keep pushing toward it.</v>
      </c>
      <c r="D15" s="24"/>
      <c r="E15" s="24"/>
      <c r="F15" s="24"/>
      <c r="G15" s="7" t="s">
        <v>87</v>
      </c>
      <c r="H15" s="7" t="str">
        <f aca="false">H9&amp;"|"&amp;H12</f>
        <v>Vocal|Achievement-driven</v>
      </c>
      <c r="I15" s="1"/>
    </row>
    <row r="16" customFormat="false" ht="30" hidden="false" customHeight="true" outlineLevel="0" collapsed="false">
      <c r="A16" s="1"/>
      <c r="B16" s="35" t="str">
        <f aca="false">IFERROR(INDEX($B$30:$B$35,MATCH(LARGE($I$30:$I$35,2),$I$30:$I$35,0)),"")</f>
        <v>Intellect</v>
      </c>
      <c r="C16" s="24" t="str">
        <f aca="false">IFERROR(INDEX('Write-ups'!$E$41:$E$46,MATCH(B16,'Write-ups'!$B$41:$B$46,0)),"")</f>
        <v>You enjoy hard problems and can hold a lot of information at once.</v>
      </c>
      <c r="D16" s="24"/>
      <c r="E16" s="24"/>
      <c r="F16" s="24"/>
      <c r="G16" s="1"/>
      <c r="H16" s="1"/>
      <c r="I16" s="1"/>
    </row>
    <row r="17" customFormat="false" ht="15" hidden="false" customHeight="false" outlineLevel="0" collapsed="false">
      <c r="A17" s="1"/>
      <c r="B17" s="1"/>
      <c r="C17" s="1"/>
      <c r="D17" s="1"/>
      <c r="E17" s="1"/>
      <c r="F17" s="1"/>
      <c r="G17" s="1"/>
      <c r="H17" s="1"/>
      <c r="I17" s="1"/>
    </row>
    <row r="18" customFormat="false" ht="15" hidden="false" customHeight="false" outlineLevel="0" collapsed="false">
      <c r="A18" s="1"/>
      <c r="B18" s="15" t="s">
        <v>145</v>
      </c>
      <c r="C18" s="1"/>
      <c r="D18" s="1"/>
      <c r="E18" s="1"/>
      <c r="F18" s="1"/>
      <c r="G18" s="1"/>
      <c r="H18" s="1"/>
      <c r="I18" s="1"/>
    </row>
    <row r="19" customFormat="false" ht="30" hidden="false" customHeight="true" outlineLevel="0" collapsed="false">
      <c r="A19" s="1"/>
      <c r="B19" s="35" t="str">
        <f aca="false">IFERROR(INDEX($B$30:$B$35,MATCH(SMALL($I$30:$I$35,1),$I$30:$I$35,0)),"")</f>
        <v>Anxiety</v>
      </c>
      <c r="C19" s="24" t="str">
        <f aca="false">IFERROR(INDEX('Write-ups'!$F$41:$F$46,MATCH(B19,'Write-ups'!$B$41:$B$46,0)),"")</f>
        <v>A tense meeting can stay with you longer than it should.</v>
      </c>
      <c r="D19" s="24"/>
      <c r="E19" s="24"/>
      <c r="F19" s="24"/>
      <c r="G19" s="1"/>
      <c r="H19" s="1"/>
      <c r="I19" s="1"/>
    </row>
    <row r="20" customFormat="false" ht="30" hidden="false" customHeight="true" outlineLevel="0" collapsed="false">
      <c r="A20" s="1"/>
      <c r="B20" s="35" t="str">
        <f aca="false">IFERROR(INDEX($B$30:$B$35,MATCH(SMALL($I$30:$I$35,2),$I$30:$I$35,0)),"")</f>
        <v>Self-Discipline</v>
      </c>
      <c r="C20" s="24" t="str">
        <f aca="false">IFERROR(INDEX('Write-ups'!$F$41:$F$46,MATCH(B20,'Write-ups'!$B$41:$B$46,0)),"")</f>
        <v>Structure helps you more than open-ended ownership does.</v>
      </c>
      <c r="D20" s="24"/>
      <c r="E20" s="24"/>
      <c r="F20" s="24"/>
      <c r="G20" s="1"/>
      <c r="H20" s="1"/>
      <c r="I20" s="1"/>
    </row>
    <row r="21" customFormat="false" ht="15" hidden="false" customHeight="false" outlineLevel="0" collapsed="false">
      <c r="A21" s="1"/>
      <c r="B21" s="1"/>
      <c r="C21" s="1"/>
      <c r="D21" s="1"/>
      <c r="E21" s="1"/>
      <c r="F21" s="1"/>
      <c r="G21" s="1"/>
      <c r="H21" s="1"/>
      <c r="I21" s="1"/>
    </row>
    <row r="22" customFormat="false" ht="15" hidden="false" customHeight="false" outlineLevel="0" collapsed="false">
      <c r="A22" s="1"/>
      <c r="B22" s="15" t="s">
        <v>146</v>
      </c>
      <c r="C22" s="36" t="s">
        <v>147</v>
      </c>
      <c r="D22" s="1"/>
      <c r="E22" s="1"/>
      <c r="F22" s="1"/>
      <c r="G22" s="1"/>
      <c r="H22" s="1"/>
      <c r="I22" s="1"/>
    </row>
    <row r="23" customFormat="false" ht="30" hidden="false" customHeight="true" outlineLevel="0" collapsed="false">
      <c r="A23" s="1"/>
      <c r="B23" s="37" t="s">
        <v>104</v>
      </c>
      <c r="C23" s="38" t="str">
        <f aca="false">INDEX($E$30:$E$39,MATCH(B23,$B$30:$B$39,0))</f>
        <v>High</v>
      </c>
      <c r="D23" s="24" t="str">
        <f aca="false">IFERROR(INDEX('Write-ups'!$E$50:$E$61,MATCH(B23&amp;"|"&amp;C23,'Write-ups'!$B$50:$B$61,0)),"")</f>
        <v>You take charge easily and people often look to you to set direction.</v>
      </c>
      <c r="E23" s="24"/>
      <c r="F23" s="24"/>
      <c r="G23" s="1"/>
      <c r="H23" s="1"/>
      <c r="I23" s="1"/>
    </row>
    <row r="24" customFormat="false" ht="30" hidden="false" customHeight="true" outlineLevel="0" collapsed="false">
      <c r="A24" s="1"/>
      <c r="B24" s="37" t="s">
        <v>106</v>
      </c>
      <c r="C24" s="38" t="str">
        <f aca="false">INDEX($E$30:$E$39,MATCH(B24,$B$30:$B$39,0))</f>
        <v>High</v>
      </c>
      <c r="D24" s="24" t="str">
        <f aca="false">IFERROR(INDEX('Write-ups'!$E$50:$E$61,MATCH(B24&amp;"|"&amp;C24,'Write-ups'!$B$50:$B$61,0)),"")</f>
        <v>You like a full calendar and move fast between tasks.</v>
      </c>
      <c r="E24" s="24"/>
      <c r="F24" s="24"/>
      <c r="G24" s="1"/>
      <c r="H24" s="1"/>
      <c r="I24" s="1"/>
    </row>
    <row r="25" customFormat="false" ht="30" hidden="false" customHeight="true" outlineLevel="0" collapsed="false">
      <c r="A25" s="1"/>
      <c r="B25" s="37" t="s">
        <v>108</v>
      </c>
      <c r="C25" s="38" t="str">
        <f aca="false">INDEX($E$30:$E$39,MATCH(B25,$B$30:$B$39,0))</f>
        <v>Mid</v>
      </c>
      <c r="D25" s="24" t="str">
        <f aca="false">IFERROR(INDEX('Write-ups'!$E$50:$E$61,MATCH(B25&amp;"|"&amp;C25,'Write-ups'!$B$50:$B$61,0)),"")</f>
        <v>You pick your battles and avoid conflict that does not matter.</v>
      </c>
      <c r="E25" s="24"/>
      <c r="F25" s="24"/>
      <c r="G25" s="1"/>
      <c r="H25" s="1"/>
      <c r="I25" s="1"/>
    </row>
    <row r="26" customFormat="false" ht="30" hidden="false" customHeight="true" outlineLevel="0" collapsed="false">
      <c r="A26" s="1"/>
      <c r="B26" s="37" t="s">
        <v>110</v>
      </c>
      <c r="C26" s="38" t="str">
        <f aca="false">INDEX($E$30:$E$39,MATCH(B26,$B$30:$B$39,0))</f>
        <v>High</v>
      </c>
      <c r="D26" s="24" t="str">
        <f aca="false">IFERROR(INDEX('Write-ups'!$E$50:$E$61,MATCH(B26&amp;"|"&amp;C26,'Write-ups'!$B$50:$B$61,0)),"")</f>
        <v>You go out of your way for others, often before they ask.</v>
      </c>
      <c r="E26" s="24"/>
      <c r="F26" s="24"/>
      <c r="G26" s="1"/>
      <c r="H26" s="1"/>
      <c r="I26" s="1"/>
    </row>
    <row r="27" customFormat="false" ht="15" hidden="false" customHeight="false" outlineLevel="0" collapsed="false">
      <c r="A27" s="1"/>
      <c r="B27" s="1"/>
      <c r="C27" s="1"/>
      <c r="D27" s="1"/>
      <c r="E27" s="1"/>
      <c r="F27" s="1"/>
      <c r="G27" s="1"/>
      <c r="H27" s="1"/>
      <c r="I27" s="1"/>
    </row>
    <row r="28" customFormat="false" ht="15" hidden="false" customHeight="false" outlineLevel="0" collapsed="false">
      <c r="A28" s="1"/>
      <c r="B28" s="15" t="s">
        <v>148</v>
      </c>
      <c r="C28" s="1"/>
      <c r="D28" s="1"/>
      <c r="E28" s="1"/>
      <c r="F28" s="1"/>
      <c r="G28" s="1"/>
      <c r="H28" s="1"/>
      <c r="I28" s="1"/>
    </row>
    <row r="29" customFormat="false" ht="23.85" hidden="false" customHeight="false" outlineLevel="0" collapsed="false">
      <c r="A29" s="1"/>
      <c r="B29" s="8" t="s">
        <v>90</v>
      </c>
      <c r="C29" s="8" t="s">
        <v>149</v>
      </c>
      <c r="D29" s="8" t="s">
        <v>60</v>
      </c>
      <c r="E29" s="8" t="s">
        <v>61</v>
      </c>
      <c r="F29" s="1"/>
      <c r="G29" s="9" t="s">
        <v>64</v>
      </c>
      <c r="H29" s="9" t="s">
        <v>150</v>
      </c>
      <c r="I29" s="9" t="s">
        <v>67</v>
      </c>
    </row>
    <row r="30" customFormat="false" ht="15" hidden="false" customHeight="false" outlineLevel="0" collapsed="false">
      <c r="A30" s="1"/>
      <c r="B30" s="39" t="s">
        <v>92</v>
      </c>
      <c r="C30" s="22" t="s">
        <v>151</v>
      </c>
      <c r="D30" s="40" t="n">
        <f aca="false">IF(G30="","",ROUND((G30-1)/4*100,0))</f>
        <v>88</v>
      </c>
      <c r="E30" s="41" t="str">
        <f aca="false">IF(D30="","",IF(D30&lt;'Scoring rules'!$C$7,"Low",IF(D30&gt;'Scoring rules'!$C$8,"High","Mid")))</f>
        <v>High</v>
      </c>
      <c r="F30" s="1"/>
      <c r="G30" s="23" t="n">
        <f aca="false">IFERROR(ROUND(AVERAGEIFS('Paid test'!$H$7:$H$46,'Paid test'!$F$7:$F$46,B30),2),"")</f>
        <v>4.5</v>
      </c>
      <c r="H30" s="23" t="n">
        <f aca="false">D30</f>
        <v>88</v>
      </c>
      <c r="I30" s="23" t="n">
        <f aca="false">IF(H30="","",H30+ROW()/100000)</f>
        <v>88.0003</v>
      </c>
    </row>
    <row r="31" customFormat="false" ht="15" hidden="false" customHeight="false" outlineLevel="0" collapsed="false">
      <c r="A31" s="1"/>
      <c r="B31" s="39" t="s">
        <v>95</v>
      </c>
      <c r="C31" s="22" t="s">
        <v>151</v>
      </c>
      <c r="D31" s="40" t="n">
        <f aca="false">IF(G31="","",ROUND((G31-1)/4*100,0))</f>
        <v>63</v>
      </c>
      <c r="E31" s="41" t="str">
        <f aca="false">IF(D31="","",IF(D31&lt;'Scoring rules'!$C$7,"Low",IF(D31&gt;'Scoring rules'!$C$8,"High","Mid")))</f>
        <v>High</v>
      </c>
      <c r="F31" s="1"/>
      <c r="G31" s="23" t="n">
        <f aca="false">IFERROR(ROUND(AVERAGEIFS('Paid test'!$H$7:$H$46,'Paid test'!$F$7:$F$46,B31),2),"")</f>
        <v>3.5</v>
      </c>
      <c r="H31" s="23" t="n">
        <f aca="false">D31</f>
        <v>63</v>
      </c>
      <c r="I31" s="23" t="n">
        <f aca="false">IF(H31="","",H31+ROW()/100000)</f>
        <v>63.00031</v>
      </c>
    </row>
    <row r="32" customFormat="false" ht="15" hidden="false" customHeight="false" outlineLevel="0" collapsed="false">
      <c r="A32" s="1"/>
      <c r="B32" s="39" t="s">
        <v>97</v>
      </c>
      <c r="C32" s="22" t="s">
        <v>151</v>
      </c>
      <c r="D32" s="40" t="n">
        <f aca="false">IF(G32="","",ROUND((G32-1)/4*100,0))</f>
        <v>75</v>
      </c>
      <c r="E32" s="41" t="str">
        <f aca="false">IF(D32="","",IF(D32&lt;'Scoring rules'!$C$7,"Low",IF(D32&gt;'Scoring rules'!$C$8,"High","Mid")))</f>
        <v>High</v>
      </c>
      <c r="F32" s="1"/>
      <c r="G32" s="23" t="n">
        <f aca="false">IFERROR(ROUND(AVERAGEIFS('Paid test'!$H$7:$H$46,'Paid test'!$F$7:$F$46,B32),2),"")</f>
        <v>4</v>
      </c>
      <c r="H32" s="23" t="n">
        <f aca="false">D32</f>
        <v>75</v>
      </c>
      <c r="I32" s="23" t="n">
        <f aca="false">IF(H32="","",H32+ROW()/100000)</f>
        <v>75.00032</v>
      </c>
    </row>
    <row r="33" customFormat="false" ht="15" hidden="false" customHeight="false" outlineLevel="0" collapsed="false">
      <c r="A33" s="1"/>
      <c r="B33" s="39" t="s">
        <v>39</v>
      </c>
      <c r="C33" s="22" t="s">
        <v>151</v>
      </c>
      <c r="D33" s="40" t="n">
        <f aca="false">IF(G33="","",ROUND((G33-1)/4*100,0))</f>
        <v>81</v>
      </c>
      <c r="E33" s="41" t="str">
        <f aca="false">IF(D33="","",IF(D33&lt;'Scoring rules'!$C$7,"Low",IF(D33&gt;'Scoring rules'!$C$8,"High","Mid")))</f>
        <v>High</v>
      </c>
      <c r="F33" s="1"/>
      <c r="G33" s="23" t="n">
        <f aca="false">IFERROR(ROUND(AVERAGEIFS('Paid test'!$H$7:$H$46,'Paid test'!$F$7:$F$46,B33),2),"")</f>
        <v>4.25</v>
      </c>
      <c r="H33" s="23" t="n">
        <f aca="false">D33</f>
        <v>81</v>
      </c>
      <c r="I33" s="23" t="n">
        <f aca="false">IF(H33="","",H33+ROW()/100000)</f>
        <v>81.00033</v>
      </c>
    </row>
    <row r="34" customFormat="false" ht="15" hidden="false" customHeight="false" outlineLevel="0" collapsed="false">
      <c r="A34" s="1"/>
      <c r="B34" s="39" t="s">
        <v>100</v>
      </c>
      <c r="C34" s="22" t="s">
        <v>152</v>
      </c>
      <c r="D34" s="40" t="n">
        <f aca="false">IF(G34="","",ROUND((G34-1)/4*100,0))</f>
        <v>50</v>
      </c>
      <c r="E34" s="41" t="str">
        <f aca="false">IF(D34="","",IF(D34&lt;'Scoring rules'!$C$7,"Low",IF(D34&gt;'Scoring rules'!$C$8,"High","Mid")))</f>
        <v>Mid</v>
      </c>
      <c r="F34" s="1"/>
      <c r="G34" s="23" t="n">
        <f aca="false">IFERROR(ROUND(AVERAGEIFS('Paid test'!$H$7:$H$46,'Paid test'!$F$7:$F$46,B34),2),"")</f>
        <v>3</v>
      </c>
      <c r="H34" s="23" t="n">
        <f aca="false">IF(D34="","",100-D34)</f>
        <v>50</v>
      </c>
      <c r="I34" s="23" t="n">
        <f aca="false">IF(H34="","",H34+ROW()/100000)</f>
        <v>50.00034</v>
      </c>
    </row>
    <row r="35" customFormat="false" ht="15" hidden="false" customHeight="false" outlineLevel="0" collapsed="false">
      <c r="A35" s="1"/>
      <c r="B35" s="39" t="s">
        <v>102</v>
      </c>
      <c r="C35" s="22" t="s">
        <v>152</v>
      </c>
      <c r="D35" s="40" t="n">
        <f aca="false">IF(G35="","",ROUND((G35-1)/4*100,0))</f>
        <v>31</v>
      </c>
      <c r="E35" s="41" t="str">
        <f aca="false">IF(D35="","",IF(D35&lt;'Scoring rules'!$C$7,"Low",IF(D35&gt;'Scoring rules'!$C$8,"High","Mid")))</f>
        <v>Low</v>
      </c>
      <c r="F35" s="1"/>
      <c r="G35" s="23" t="n">
        <f aca="false">IFERROR(ROUND(AVERAGEIFS('Paid test'!$H$7:$H$46,'Paid test'!$F$7:$F$46,B35),2),"")</f>
        <v>2.25</v>
      </c>
      <c r="H35" s="23" t="n">
        <f aca="false">IF(D35="","",100-D35)</f>
        <v>69</v>
      </c>
      <c r="I35" s="23" t="n">
        <f aca="false">IF(H35="","",H35+ROW()/100000)</f>
        <v>69.00035</v>
      </c>
    </row>
    <row r="36" customFormat="false" ht="15" hidden="false" customHeight="false" outlineLevel="0" collapsed="false">
      <c r="A36" s="1"/>
      <c r="B36" s="39" t="s">
        <v>104</v>
      </c>
      <c r="C36" s="22" t="s">
        <v>153</v>
      </c>
      <c r="D36" s="40" t="n">
        <f aca="false">IF(G36="","",ROUND((G36-1)/4*100,0))</f>
        <v>75</v>
      </c>
      <c r="E36" s="41" t="str">
        <f aca="false">IF(D36="","",IF(D36&lt;'Scoring rules'!$C$7,"Low",IF(D36&gt;'Scoring rules'!$C$8,"High","Mid")))</f>
        <v>High</v>
      </c>
      <c r="F36" s="1"/>
      <c r="G36" s="23" t="n">
        <f aca="false">IFERROR(ROUND(AVERAGEIFS('Paid test'!$H$7:$H$46,'Paid test'!$F$7:$F$46,B36),2),"")</f>
        <v>4</v>
      </c>
      <c r="H36" s="23"/>
      <c r="I36" s="23"/>
    </row>
    <row r="37" customFormat="false" ht="15" hidden="false" customHeight="false" outlineLevel="0" collapsed="false">
      <c r="A37" s="1"/>
      <c r="B37" s="39" t="s">
        <v>106</v>
      </c>
      <c r="C37" s="22" t="s">
        <v>154</v>
      </c>
      <c r="D37" s="40" t="n">
        <f aca="false">IF(G37="","",ROUND((G37-1)/4*100,0))</f>
        <v>81</v>
      </c>
      <c r="E37" s="41" t="str">
        <f aca="false">IF(D37="","",IF(D37&lt;'Scoring rules'!$C$7,"Low",IF(D37&gt;'Scoring rules'!$C$8,"High","Mid")))</f>
        <v>High</v>
      </c>
      <c r="F37" s="1"/>
      <c r="G37" s="23" t="n">
        <f aca="false">IFERROR(ROUND(AVERAGEIFS('Paid test'!$H$7:$H$46,'Paid test'!$F$7:$F$46,B37),2),"")</f>
        <v>4.25</v>
      </c>
      <c r="H37" s="23"/>
      <c r="I37" s="23"/>
    </row>
    <row r="38" customFormat="false" ht="15" hidden="false" customHeight="false" outlineLevel="0" collapsed="false">
      <c r="A38" s="1"/>
      <c r="B38" s="39" t="s">
        <v>108</v>
      </c>
      <c r="C38" s="22" t="s">
        <v>154</v>
      </c>
      <c r="D38" s="40" t="n">
        <f aca="false">IF(G38="","",ROUND((G38-1)/4*100,0))</f>
        <v>56</v>
      </c>
      <c r="E38" s="41" t="str">
        <f aca="false">IF(D38="","",IF(D38&lt;'Scoring rules'!$C$7,"Low",IF(D38&gt;'Scoring rules'!$C$8,"High","Mid")))</f>
        <v>Mid</v>
      </c>
      <c r="F38" s="1"/>
      <c r="G38" s="23" t="n">
        <f aca="false">IFERROR(ROUND(AVERAGEIFS('Paid test'!$H$7:$H$46,'Paid test'!$F$7:$F$46,B38),2),"")</f>
        <v>3.25</v>
      </c>
      <c r="H38" s="23"/>
      <c r="I38" s="23"/>
    </row>
    <row r="39" customFormat="false" ht="15" hidden="false" customHeight="false" outlineLevel="0" collapsed="false">
      <c r="A39" s="1"/>
      <c r="B39" s="39" t="s">
        <v>110</v>
      </c>
      <c r="C39" s="22" t="s">
        <v>155</v>
      </c>
      <c r="D39" s="40" t="n">
        <f aca="false">IF(G39="","",ROUND((G39-1)/4*100,0))</f>
        <v>69</v>
      </c>
      <c r="E39" s="41" t="str">
        <f aca="false">IF(D39="","",IF(D39&lt;'Scoring rules'!$C$7,"Low",IF(D39&gt;'Scoring rules'!$C$8,"High","Mid")))</f>
        <v>High</v>
      </c>
      <c r="F39" s="1"/>
      <c r="G39" s="23" t="n">
        <f aca="false">IFERROR(ROUND(AVERAGEIFS('Paid test'!$H$7:$H$46,'Paid test'!$F$7:$F$46,B39),2),"")</f>
        <v>3.75</v>
      </c>
      <c r="H39" s="23"/>
      <c r="I39" s="23"/>
    </row>
    <row r="40" customFormat="false" ht="15" hidden="false" customHeight="false" outlineLevel="0" collapsed="false">
      <c r="A40" s="1"/>
      <c r="B40" s="1"/>
      <c r="C40" s="1"/>
      <c r="D40" s="1"/>
      <c r="E40" s="1"/>
      <c r="F40" s="1"/>
      <c r="G40" s="7" t="s">
        <v>156</v>
      </c>
      <c r="H40" s="1"/>
      <c r="I40" s="1"/>
    </row>
    <row r="41" customFormat="false" ht="15" hidden="false" customHeight="false" outlineLevel="0" collapsed="false">
      <c r="A41" s="1"/>
      <c r="B41" s="1"/>
      <c r="C41" s="1"/>
      <c r="D41" s="1"/>
      <c r="E41" s="1"/>
      <c r="F41" s="1"/>
      <c r="G41" s="1"/>
      <c r="H41" s="1"/>
      <c r="I41" s="1"/>
    </row>
    <row r="42" customFormat="false" ht="39.75" hidden="false" customHeight="true" outlineLevel="0" collapsed="false">
      <c r="A42" s="1"/>
      <c r="B42" s="31" t="str">
        <f aca="false">'Write-ups'!$E$66</f>
        <v>The Think, Speak, and Act Like an Executive™ cohort is built around these habits. Join the waitlist to hear when the next cohort opens.</v>
      </c>
      <c r="C42" s="31"/>
      <c r="D42" s="31"/>
      <c r="E42" s="31"/>
      <c r="F42" s="31"/>
      <c r="G42" s="1"/>
      <c r="H42" s="1"/>
      <c r="I42" s="1"/>
    </row>
  </sheetData>
  <mergeCells count="16">
    <mergeCell ref="D5:E5"/>
    <mergeCell ref="B6:F6"/>
    <mergeCell ref="D8:F8"/>
    <mergeCell ref="B9:F9"/>
    <mergeCell ref="C10:F10"/>
    <mergeCell ref="C11:F11"/>
    <mergeCell ref="B12:F12"/>
    <mergeCell ref="C15:F15"/>
    <mergeCell ref="C16:F16"/>
    <mergeCell ref="C19:F19"/>
    <mergeCell ref="C20:F20"/>
    <mergeCell ref="D23:F23"/>
    <mergeCell ref="D24:F24"/>
    <mergeCell ref="D25:F25"/>
    <mergeCell ref="D26:F26"/>
    <mergeCell ref="B42:F42"/>
  </mergeCells>
  <conditionalFormatting sqref="D30:D39">
    <cfRule type="colorScale" priority="2">
      <colorScale>
        <cfvo type="num" val="0"/>
        <cfvo type="num" val="100"/>
        <color rgb="FFFFFFFF"/>
        <color rgb="FFF2C46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A320"/>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4" min="3" style="0" width="40"/>
    <col collapsed="false" customWidth="true" hidden="false" outlineLevel="0" max="5" min="5" style="0" width="3"/>
    <col collapsed="false" customWidth="true" hidden="false" outlineLevel="0" max="6" min="6" style="0" width="44"/>
    <col collapsed="false" customWidth="true" hidden="false" outlineLevel="0" max="7" min="7" style="0" width="34"/>
    <col collapsed="false" customWidth="true" hidden="false" outlineLevel="0" max="10" min="10" style="0" width="30"/>
    <col collapsed="false" customWidth="true" hidden="false" outlineLevel="0" max="12" min="11" style="0" width="26"/>
  </cols>
  <sheetData>
    <row r="1" customFormat="false" ht="15" hidden="false" customHeight="false" outlineLevel="0" collapsed="false">
      <c r="A1" s="1"/>
      <c r="B1" s="1"/>
      <c r="C1" s="1"/>
      <c r="D1" s="1"/>
      <c r="E1" s="1"/>
      <c r="F1" s="1"/>
      <c r="G1" s="1"/>
      <c r="H1" s="1"/>
      <c r="I1" s="1"/>
      <c r="J1" s="1"/>
      <c r="K1" s="1"/>
      <c r="L1" s="1"/>
    </row>
    <row r="2" customFormat="false" ht="22.05" hidden="false" customHeight="false" outlineLevel="0" collapsed="false">
      <c r="A2" s="1"/>
      <c r="B2" s="2" t="s">
        <v>157</v>
      </c>
      <c r="C2" s="1"/>
      <c r="D2" s="1"/>
      <c r="E2" s="1"/>
      <c r="F2" s="1"/>
      <c r="G2" s="1"/>
      <c r="H2" s="1"/>
      <c r="I2" s="1"/>
      <c r="J2" s="1"/>
      <c r="K2" s="1"/>
      <c r="L2" s="1"/>
    </row>
    <row r="3" customFormat="false" ht="15" hidden="false" customHeight="false" outlineLevel="0" collapsed="false">
      <c r="A3" s="1"/>
      <c r="B3" s="5" t="s">
        <v>158</v>
      </c>
      <c r="C3" s="1"/>
      <c r="D3" s="1"/>
      <c r="E3" s="1"/>
      <c r="F3" s="1"/>
      <c r="G3" s="1"/>
      <c r="H3" s="1"/>
      <c r="I3" s="1"/>
      <c r="J3" s="1"/>
      <c r="K3" s="1"/>
      <c r="L3" s="1"/>
    </row>
    <row r="4" customFormat="false" ht="15" hidden="false" customHeight="false" outlineLevel="0" collapsed="false">
      <c r="A4" s="1"/>
      <c r="B4" s="1"/>
      <c r="C4" s="1"/>
      <c r="D4" s="1"/>
      <c r="E4" s="1"/>
      <c r="F4" s="1"/>
      <c r="G4" s="1"/>
      <c r="H4" s="1"/>
      <c r="I4" s="1"/>
      <c r="J4" s="1"/>
      <c r="K4" s="1"/>
      <c r="L4" s="1"/>
    </row>
    <row r="5" customFormat="false" ht="15" hidden="false" customHeight="false" outlineLevel="0" collapsed="false">
      <c r="A5" s="1"/>
      <c r="B5" s="15" t="s">
        <v>159</v>
      </c>
      <c r="C5" s="1"/>
      <c r="D5" s="1"/>
      <c r="E5" s="1"/>
      <c r="F5" s="1"/>
      <c r="G5" s="1"/>
      <c r="H5" s="1"/>
      <c r="I5" s="1"/>
      <c r="J5" s="1"/>
      <c r="K5" s="1"/>
      <c r="L5" s="1"/>
    </row>
    <row r="6" customFormat="false" ht="15" hidden="false" customHeight="false" outlineLevel="0" collapsed="false">
      <c r="A6" s="1"/>
      <c r="B6" s="8" t="s">
        <v>160</v>
      </c>
      <c r="C6" s="8" t="s">
        <v>161</v>
      </c>
      <c r="D6" s="8" t="s">
        <v>162</v>
      </c>
      <c r="E6" s="1"/>
      <c r="F6" s="8" t="s">
        <v>163</v>
      </c>
      <c r="G6" s="8" t="s">
        <v>164</v>
      </c>
      <c r="H6" s="1"/>
      <c r="I6" s="1"/>
      <c r="J6" s="1"/>
      <c r="K6" s="1"/>
      <c r="L6" s="1"/>
    </row>
    <row r="7" customFormat="false" ht="43.5" hidden="false" customHeight="true" outlineLevel="0" collapsed="false">
      <c r="A7" s="1"/>
      <c r="B7" s="42" t="s">
        <v>165</v>
      </c>
      <c r="C7" s="22" t="s">
        <v>166</v>
      </c>
      <c r="D7" s="22" t="str">
        <f aca="false">"Voice below "&amp;'Scoring rules'!$C$9&amp;", achievement side at or above connection side"</f>
        <v>Voice below 40, achievement side at or above connection side</v>
      </c>
      <c r="E7" s="1"/>
      <c r="F7" s="22" t="s">
        <v>167</v>
      </c>
      <c r="G7" s="22" t="s">
        <v>168</v>
      </c>
      <c r="H7" s="1"/>
      <c r="I7" s="1"/>
      <c r="J7" s="1"/>
      <c r="K7" s="1"/>
      <c r="L7" s="1"/>
    </row>
    <row r="8" customFormat="false" ht="43.5" hidden="false" customHeight="true" outlineLevel="0" collapsed="false">
      <c r="A8" s="1"/>
      <c r="B8" s="42" t="s">
        <v>169</v>
      </c>
      <c r="C8" s="22" t="s">
        <v>170</v>
      </c>
      <c r="D8" s="22" t="str">
        <f aca="false">"Voice below "&amp;'Scoring rules'!$C$9&amp;", connection side above achievement side"</f>
        <v>Voice below 40, connection side above achievement side</v>
      </c>
      <c r="E8" s="1"/>
      <c r="F8" s="22" t="s">
        <v>171</v>
      </c>
      <c r="G8" s="22" t="s">
        <v>172</v>
      </c>
      <c r="H8" s="1"/>
      <c r="I8" s="1"/>
      <c r="J8" s="1"/>
      <c r="K8" s="1"/>
      <c r="L8" s="1"/>
    </row>
    <row r="9" customFormat="false" ht="43.5" hidden="false" customHeight="true" outlineLevel="0" collapsed="false">
      <c r="A9" s="1"/>
      <c r="B9" s="42" t="s">
        <v>173</v>
      </c>
      <c r="C9" s="22" t="s">
        <v>174</v>
      </c>
      <c r="D9" s="22" t="str">
        <f aca="false">"Voice "&amp;'Scoring rules'!$C$9&amp;" to "&amp;'Scoring rules'!$C$10&amp;", achievement side at or above connection side"</f>
        <v>Voice 40 to 60, achievement side at or above connection side</v>
      </c>
      <c r="E9" s="1"/>
      <c r="F9" s="22" t="s">
        <v>175</v>
      </c>
      <c r="G9" s="22" t="s">
        <v>176</v>
      </c>
      <c r="H9" s="1"/>
      <c r="I9" s="1"/>
      <c r="J9" s="1"/>
      <c r="K9" s="1"/>
      <c r="L9" s="1"/>
    </row>
    <row r="10" customFormat="false" ht="43.5" hidden="false" customHeight="true" outlineLevel="0" collapsed="false">
      <c r="A10" s="1"/>
      <c r="B10" s="42" t="s">
        <v>177</v>
      </c>
      <c r="C10" s="22" t="s">
        <v>178</v>
      </c>
      <c r="D10" s="22" t="str">
        <f aca="false">"Voice "&amp;'Scoring rules'!$C$9&amp;" to "&amp;'Scoring rules'!$C$10&amp;", connection side above achievement side"</f>
        <v>Voice 40 to 60, connection side above achievement side</v>
      </c>
      <c r="E10" s="1"/>
      <c r="F10" s="22" t="s">
        <v>179</v>
      </c>
      <c r="G10" s="22" t="s">
        <v>180</v>
      </c>
      <c r="H10" s="1"/>
      <c r="I10" s="1"/>
      <c r="J10" s="1"/>
      <c r="K10" s="1"/>
      <c r="L10" s="1"/>
    </row>
    <row r="11" customFormat="false" ht="43.5" hidden="false" customHeight="true" outlineLevel="0" collapsed="false">
      <c r="A11" s="1"/>
      <c r="B11" s="42" t="s">
        <v>181</v>
      </c>
      <c r="C11" s="22" t="s">
        <v>182</v>
      </c>
      <c r="D11" s="22" t="str">
        <f aca="false">"Voice above "&amp;'Scoring rules'!$C$10&amp;", achievement side at or above connection side"</f>
        <v>Voice above 60, achievement side at or above connection side</v>
      </c>
      <c r="E11" s="1"/>
      <c r="F11" s="22" t="s">
        <v>183</v>
      </c>
      <c r="G11" s="22" t="s">
        <v>184</v>
      </c>
      <c r="H11" s="1"/>
      <c r="I11" s="1"/>
      <c r="J11" s="1"/>
      <c r="K11" s="1"/>
      <c r="L11" s="1"/>
    </row>
    <row r="12" customFormat="false" ht="43.5" hidden="false" customHeight="true" outlineLevel="0" collapsed="false">
      <c r="A12" s="1"/>
      <c r="B12" s="42" t="s">
        <v>185</v>
      </c>
      <c r="C12" s="22" t="s">
        <v>186</v>
      </c>
      <c r="D12" s="22" t="str">
        <f aca="false">"Voice above "&amp;'Scoring rules'!$C$10&amp;", connection side above achievement side"</f>
        <v>Voice above 60, connection side above achievement side</v>
      </c>
      <c r="E12" s="1"/>
      <c r="F12" s="22" t="s">
        <v>187</v>
      </c>
      <c r="G12" s="22" t="s">
        <v>188</v>
      </c>
      <c r="H12" s="1"/>
      <c r="I12" s="1"/>
      <c r="J12" s="1"/>
      <c r="K12" s="1"/>
      <c r="L12" s="1"/>
    </row>
    <row r="13" customFormat="false" ht="30" hidden="false" customHeight="true" outlineLevel="0" collapsed="false">
      <c r="A13" s="1"/>
      <c r="B13" s="34" t="s">
        <v>189</v>
      </c>
      <c r="C13" s="34"/>
      <c r="D13" s="34"/>
      <c r="E13" s="34"/>
      <c r="F13" s="34"/>
      <c r="G13" s="34"/>
      <c r="H13" s="1"/>
      <c r="I13" s="1"/>
      <c r="J13" s="1"/>
      <c r="K13" s="1"/>
      <c r="L13" s="1"/>
    </row>
    <row r="14" customFormat="false" ht="15" hidden="false" customHeight="false" outlineLevel="0" collapsed="false">
      <c r="A14" s="1"/>
      <c r="B14" s="1"/>
      <c r="C14" s="1"/>
      <c r="D14" s="1"/>
      <c r="E14" s="1"/>
      <c r="F14" s="1"/>
      <c r="G14" s="1"/>
      <c r="H14" s="1"/>
      <c r="I14" s="1"/>
      <c r="J14" s="1"/>
      <c r="K14" s="1"/>
      <c r="L14" s="1"/>
    </row>
    <row r="15" customFormat="false" ht="15" hidden="false" customHeight="false" outlineLevel="0" collapsed="false">
      <c r="A15" s="1"/>
      <c r="B15" s="1"/>
      <c r="C15" s="1"/>
      <c r="D15" s="1"/>
      <c r="E15" s="1"/>
      <c r="F15" s="1"/>
      <c r="G15" s="1"/>
      <c r="H15" s="1"/>
      <c r="I15" s="1"/>
      <c r="J15" s="1"/>
      <c r="K15" s="1"/>
      <c r="L15" s="1"/>
    </row>
    <row r="16" customFormat="false" ht="15" hidden="false" customHeight="false" outlineLevel="0" collapsed="false">
      <c r="A16" s="1"/>
      <c r="B16" s="15" t="s">
        <v>190</v>
      </c>
      <c r="C16" s="36" t="s">
        <v>191</v>
      </c>
      <c r="D16" s="1"/>
      <c r="E16" s="1"/>
      <c r="F16" s="1"/>
      <c r="G16" s="1"/>
      <c r="H16" s="1"/>
      <c r="I16" s="1"/>
      <c r="J16" s="1"/>
      <c r="K16" s="1"/>
      <c r="L16" s="1"/>
    </row>
    <row r="17" customFormat="false" ht="36" hidden="false" customHeight="true" outlineLevel="0" collapsed="false">
      <c r="A17" s="1"/>
      <c r="B17" s="1"/>
      <c r="C17" s="8" t="s">
        <v>192</v>
      </c>
      <c r="D17" s="8" t="s">
        <v>193</v>
      </c>
      <c r="E17" s="1"/>
      <c r="F17" s="1"/>
      <c r="G17" s="1"/>
      <c r="H17" s="1"/>
      <c r="I17" s="7" t="s">
        <v>194</v>
      </c>
      <c r="J17" s="7" t="str">
        <f aca="false">'Free result'!I25</f>
        <v>Balanced|Achievement-driven</v>
      </c>
      <c r="K17" s="7" t="s">
        <v>195</v>
      </c>
      <c r="L17" s="1"/>
    </row>
    <row r="18" customFormat="false" ht="84" hidden="false" customHeight="true" outlineLevel="0" collapsed="false">
      <c r="A18" s="1"/>
      <c r="B18" s="43" t="str">
        <f aca="false">"Reserved"&amp;CHAR(10)&amp;"Voice score below "&amp;'Scoring rules'!$C$9</f>
        <v>Reserved
Voice score below 40</v>
      </c>
      <c r="C18" s="44" t="str">
        <f aca="false">INDEX('Write-ups'!$E$32:$E$37,MATCH(K18,'Write-ups'!$B$32:$B$37,0))&amp;CHAR(10)&amp;INDEX('Write-ups'!$I$32:$I$37,MATCH(K18,'Write-ups'!$B$32:$B$37,0))&amp;IF(K18=$J$17,CHAR(10)&amp;"Free preview lands here","")&amp;IF(K18=$J$18,CHAR(10)&amp;"Full report lands here","")</f>
        <v>Quiet achiever
Focused, self-driven, reliable</v>
      </c>
      <c r="D18" s="44" t="str">
        <f aca="false">INDEX('Write-ups'!$E$32:$E$37,MATCH(L18,'Write-ups'!$B$32:$B$37,0))&amp;CHAR(10)&amp;INDEX('Write-ups'!$I$32:$I$37,MATCH(L18,'Write-ups'!$B$32:$B$37,0))&amp;IF(L18=$J$17,CHAR(10)&amp;"Free preview lands here","")&amp;IF(L18=$J$18,CHAR(10)&amp;"Full report lands here","")</f>
        <v>Steady supporter
Calm, dependable, loyal</v>
      </c>
      <c r="E18" s="1"/>
      <c r="F18" s="1"/>
      <c r="G18" s="1"/>
      <c r="H18" s="1"/>
      <c r="I18" s="7" t="s">
        <v>196</v>
      </c>
      <c r="J18" s="7" t="str">
        <f aca="false">'Paid report'!H15</f>
        <v>Vocal|Achievement-driven</v>
      </c>
      <c r="K18" s="7" t="s">
        <v>197</v>
      </c>
      <c r="L18" s="7" t="s">
        <v>198</v>
      </c>
    </row>
    <row r="19" customFormat="false" ht="84" hidden="false" customHeight="true" outlineLevel="0" collapsed="false">
      <c r="A19" s="1"/>
      <c r="B19" s="43" t="str">
        <f aca="false">"Balanced"&amp;CHAR(10)&amp;"Voice score "&amp;'Scoring rules'!$C$9&amp;" to "&amp;'Scoring rules'!$C$10</f>
        <v>Balanced
Voice score 40 to 60</v>
      </c>
      <c r="C19" s="44" t="str">
        <f aca="false">INDEX('Write-ups'!$E$32:$E$37,MATCH(K19,'Write-ups'!$B$32:$B$37,0))&amp;CHAR(10)&amp;INDEX('Write-ups'!$I$32:$I$37,MATCH(K19,'Write-ups'!$B$32:$B$37,0))&amp;IF(K19=$J$17,CHAR(10)&amp;"Free preview lands here","")&amp;IF(K19=$J$18,CHAR(10)&amp;"Full report lands here","")</f>
        <v>Go-getter
Driven, practical, adaptable
Free preview lands here</v>
      </c>
      <c r="D19" s="44" t="str">
        <f aca="false">INDEX('Write-ups'!$E$32:$E$37,MATCH(L19,'Write-ups'!$B$32:$B$37,0))&amp;CHAR(10)&amp;INDEX('Write-ups'!$I$32:$I$37,MATCH(L19,'Write-ups'!$B$32:$B$37,0))&amp;IF(L19=$J$17,CHAR(10)&amp;"Free preview lands here","")&amp;IF(L19=$J$18,CHAR(10)&amp;"Full report lands here","")</f>
        <v>Team player
Cooperative, fair, easy to work with</v>
      </c>
      <c r="E19" s="1"/>
      <c r="F19" s="1"/>
      <c r="G19" s="1"/>
      <c r="H19" s="1"/>
      <c r="I19" s="1"/>
      <c r="J19" s="1"/>
      <c r="K19" s="7" t="s">
        <v>199</v>
      </c>
      <c r="L19" s="7" t="s">
        <v>200</v>
      </c>
    </row>
    <row r="20" customFormat="false" ht="84" hidden="false" customHeight="true" outlineLevel="0" collapsed="false">
      <c r="A20" s="1"/>
      <c r="B20" s="43" t="str">
        <f aca="false">"Vocal"&amp;CHAR(10)&amp;"Voice score above "&amp;'Scoring rules'!$C$10</f>
        <v>Vocal
Voice score above 60</v>
      </c>
      <c r="C20" s="44" t="str">
        <f aca="false">INDEX('Write-ups'!$E$32:$E$37,MATCH(K20,'Write-ups'!$B$32:$B$37,0))&amp;CHAR(10)&amp;INDEX('Write-ups'!$I$32:$I$37,MATCH(K20,'Write-ups'!$B$32:$B$37,0))&amp;IF(K20=$J$17,CHAR(10)&amp;"Free preview lands here","")&amp;IF(K20=$J$18,CHAR(10)&amp;"Full report lands here","")</f>
        <v>Natural leader
Decisive, confident, ambitious
Full report lands here</v>
      </c>
      <c r="D20" s="44" t="str">
        <f aca="false">INDEX('Write-ups'!$E$32:$E$37,MATCH(L20,'Write-ups'!$B$32:$B$37,0))&amp;CHAR(10)&amp;INDEX('Write-ups'!$I$32:$I$37,MATCH(L20,'Write-ups'!$B$32:$B$37,0))&amp;IF(L20=$J$17,CHAR(10)&amp;"Free preview lands here","")&amp;IF(L20=$J$18,CHAR(10)&amp;"Full report lands here","")</f>
        <v>People person
Outgoing, warm, encouraging</v>
      </c>
      <c r="E20" s="1"/>
      <c r="F20" s="1"/>
      <c r="G20" s="1"/>
      <c r="H20" s="1"/>
      <c r="I20" s="1"/>
      <c r="J20" s="1"/>
      <c r="K20" s="7" t="s">
        <v>201</v>
      </c>
      <c r="L20" s="7" t="s">
        <v>202</v>
      </c>
    </row>
    <row r="21" customFormat="false" ht="15" hidden="false" customHeight="false" outlineLevel="0" collapsed="false">
      <c r="A21" s="1"/>
      <c r="B21" s="1"/>
      <c r="C21" s="1"/>
      <c r="D21" s="1"/>
      <c r="E21" s="1"/>
      <c r="F21" s="1"/>
      <c r="G21" s="1"/>
      <c r="H21" s="1"/>
      <c r="I21" s="1"/>
      <c r="J21" s="1"/>
      <c r="K21" s="1"/>
      <c r="L21" s="1"/>
    </row>
    <row r="22" customFormat="false" ht="15" hidden="false" customHeight="false" outlineLevel="0" collapsed="false">
      <c r="A22" s="1"/>
      <c r="B22" s="1"/>
      <c r="C22" s="1"/>
      <c r="D22" s="1"/>
      <c r="E22" s="1"/>
      <c r="F22" s="1"/>
      <c r="G22" s="1"/>
      <c r="H22" s="1"/>
      <c r="I22" s="1"/>
      <c r="J22" s="1"/>
      <c r="K22" s="1"/>
      <c r="L22" s="1"/>
    </row>
    <row r="23" customFormat="false" ht="15" hidden="false" customHeight="false" outlineLevel="0" collapsed="false">
      <c r="A23" s="1"/>
      <c r="B23" s="15" t="s">
        <v>203</v>
      </c>
      <c r="C23" s="1"/>
      <c r="D23" s="1"/>
      <c r="E23" s="1"/>
      <c r="F23" s="1"/>
      <c r="G23" s="1"/>
      <c r="H23" s="1"/>
      <c r="I23" s="1"/>
      <c r="J23" s="1"/>
      <c r="K23" s="1"/>
      <c r="L23" s="1"/>
    </row>
    <row r="24" customFormat="false" ht="15" hidden="false" customHeight="false" outlineLevel="0" collapsed="false">
      <c r="A24" s="1"/>
      <c r="B24" s="8" t="s">
        <v>204</v>
      </c>
      <c r="C24" s="8" t="s">
        <v>205</v>
      </c>
      <c r="D24" s="8" t="s">
        <v>206</v>
      </c>
      <c r="E24" s="1"/>
      <c r="F24" s="1"/>
      <c r="G24" s="1"/>
      <c r="H24" s="1"/>
      <c r="I24" s="1"/>
      <c r="J24" s="1"/>
      <c r="K24" s="1"/>
      <c r="L24" s="1"/>
    </row>
    <row r="25" customFormat="false" ht="15" hidden="false" customHeight="false" outlineLevel="0" collapsed="false">
      <c r="A25" s="1"/>
      <c r="B25" s="45" t="s">
        <v>207</v>
      </c>
      <c r="C25" s="46" t="s">
        <v>68</v>
      </c>
      <c r="D25" s="46" t="s">
        <v>104</v>
      </c>
      <c r="E25" s="1"/>
      <c r="F25" s="1"/>
      <c r="G25" s="1"/>
      <c r="H25" s="1"/>
      <c r="I25" s="1"/>
      <c r="J25" s="1"/>
      <c r="K25" s="1"/>
      <c r="L25" s="1"/>
    </row>
    <row r="26" customFormat="false" ht="15" hidden="false" customHeight="false" outlineLevel="0" collapsed="false">
      <c r="A26" s="1"/>
      <c r="B26" s="45" t="s">
        <v>208</v>
      </c>
      <c r="C26" s="46" t="n">
        <f aca="false">'Free result'!I18</f>
        <v>50</v>
      </c>
      <c r="D26" s="46" t="n">
        <f aca="false">'Paid report'!H8</f>
        <v>75</v>
      </c>
      <c r="E26" s="1"/>
      <c r="F26" s="1"/>
      <c r="G26" s="1"/>
      <c r="H26" s="1"/>
      <c r="I26" s="1"/>
      <c r="J26" s="1"/>
      <c r="K26" s="1"/>
      <c r="L26" s="1"/>
    </row>
    <row r="27" customFormat="false" ht="15" hidden="false" customHeight="false" outlineLevel="0" collapsed="false">
      <c r="A27" s="1"/>
      <c r="B27" s="45" t="s">
        <v>79</v>
      </c>
      <c r="C27" s="46" t="str">
        <f aca="false">'Free result'!I19</f>
        <v>Balanced</v>
      </c>
      <c r="D27" s="46" t="str">
        <f aca="false">'Paid report'!H9</f>
        <v>Vocal</v>
      </c>
      <c r="E27" s="1"/>
      <c r="F27" s="1"/>
      <c r="G27" s="1"/>
      <c r="H27" s="1"/>
      <c r="I27" s="1"/>
      <c r="J27" s="1"/>
      <c r="K27" s="1"/>
      <c r="L27" s="1"/>
    </row>
    <row r="28" customFormat="false" ht="15" hidden="false" customHeight="false" outlineLevel="0" collapsed="false">
      <c r="A28" s="1"/>
      <c r="B28" s="45" t="s">
        <v>209</v>
      </c>
      <c r="C28" s="46" t="s">
        <v>70</v>
      </c>
      <c r="D28" s="46" t="s">
        <v>92</v>
      </c>
      <c r="E28" s="1"/>
      <c r="F28" s="1"/>
      <c r="G28" s="1"/>
      <c r="H28" s="1"/>
      <c r="I28" s="1"/>
      <c r="J28" s="1"/>
      <c r="K28" s="1"/>
      <c r="L28" s="1"/>
    </row>
    <row r="29" customFormat="false" ht="15" hidden="false" customHeight="false" outlineLevel="0" collapsed="false">
      <c r="A29" s="1"/>
      <c r="B29" s="45" t="s">
        <v>210</v>
      </c>
      <c r="C29" s="46" t="n">
        <f aca="false">'Free result'!I20</f>
        <v>81</v>
      </c>
      <c r="D29" s="46" t="n">
        <f aca="false">'Paid report'!H10</f>
        <v>88</v>
      </c>
      <c r="E29" s="1"/>
      <c r="F29" s="1"/>
      <c r="G29" s="1"/>
      <c r="H29" s="1"/>
      <c r="I29" s="1"/>
      <c r="J29" s="1"/>
      <c r="K29" s="1"/>
      <c r="L29" s="1"/>
    </row>
    <row r="30" customFormat="false" ht="15" hidden="false" customHeight="false" outlineLevel="0" collapsed="false">
      <c r="A30" s="1"/>
      <c r="B30" s="45" t="s">
        <v>211</v>
      </c>
      <c r="C30" s="46" t="s">
        <v>69</v>
      </c>
      <c r="D30" s="46" t="s">
        <v>110</v>
      </c>
      <c r="E30" s="1"/>
      <c r="F30" s="1"/>
      <c r="G30" s="1"/>
      <c r="H30" s="1"/>
      <c r="I30" s="1"/>
      <c r="J30" s="1"/>
      <c r="K30" s="1"/>
      <c r="L30" s="1"/>
    </row>
    <row r="31" customFormat="false" ht="15" hidden="false" customHeight="false" outlineLevel="0" collapsed="false">
      <c r="A31" s="1"/>
      <c r="B31" s="45" t="s">
        <v>212</v>
      </c>
      <c r="C31" s="46" t="n">
        <f aca="false">'Free result'!I21</f>
        <v>75</v>
      </c>
      <c r="D31" s="46" t="n">
        <f aca="false">'Paid report'!H11</f>
        <v>69</v>
      </c>
      <c r="E31" s="1"/>
      <c r="F31" s="1"/>
      <c r="G31" s="1"/>
      <c r="H31" s="1"/>
      <c r="I31" s="1"/>
      <c r="J31" s="1"/>
      <c r="K31" s="1"/>
      <c r="L31" s="1"/>
    </row>
    <row r="32" customFormat="false" ht="15" hidden="false" customHeight="false" outlineLevel="0" collapsed="false">
      <c r="A32" s="1"/>
      <c r="B32" s="45" t="s">
        <v>84</v>
      </c>
      <c r="C32" s="46" t="str">
        <f aca="false">'Free result'!I22</f>
        <v>Achievement-driven</v>
      </c>
      <c r="D32" s="46" t="str">
        <f aca="false">'Paid report'!H12</f>
        <v>Achievement-driven</v>
      </c>
      <c r="E32" s="1"/>
      <c r="F32" s="1"/>
      <c r="G32" s="1"/>
      <c r="H32" s="1"/>
      <c r="I32" s="1"/>
      <c r="J32" s="1"/>
      <c r="K32" s="1"/>
      <c r="L32" s="1"/>
    </row>
    <row r="33" customFormat="false" ht="15" hidden="false" customHeight="false" outlineLevel="0" collapsed="false">
      <c r="A33" s="1"/>
      <c r="B33" s="45" t="s">
        <v>213</v>
      </c>
      <c r="C33" s="46" t="str">
        <f aca="false">'Free result'!I24</f>
        <v>Yes</v>
      </c>
      <c r="D33" s="46" t="str">
        <f aca="false">'Paid report'!H14</f>
        <v>No</v>
      </c>
      <c r="E33" s="1"/>
      <c r="F33" s="1"/>
      <c r="G33" s="1"/>
      <c r="H33" s="1"/>
      <c r="I33" s="1"/>
      <c r="J33" s="1"/>
      <c r="K33" s="1"/>
      <c r="L33" s="1"/>
    </row>
    <row r="34" customFormat="false" ht="15" hidden="false" customHeight="false" outlineLevel="0" collapsed="false">
      <c r="A34" s="1"/>
      <c r="B34" s="45" t="s">
        <v>160</v>
      </c>
      <c r="C34" s="47" t="str">
        <f aca="false">'Free result'!C19</f>
        <v>Go-getter</v>
      </c>
      <c r="D34" s="47" t="str">
        <f aca="false">'Paid report'!C8</f>
        <v>Natural leader</v>
      </c>
      <c r="E34" s="1"/>
      <c r="F34" s="1"/>
      <c r="G34" s="1"/>
      <c r="H34" s="1"/>
      <c r="I34" s="1"/>
      <c r="J34" s="1"/>
      <c r="K34" s="1"/>
      <c r="L34" s="1"/>
    </row>
  </sheetData>
  <mergeCells count="1">
    <mergeCell ref="B13:G13"/>
  </mergeCells>
  <conditionalFormatting sqref="C18:D20">
    <cfRule type="expression" priority="2" aboveAverage="0" equalAverage="0" bottom="0" percent="0" rank="0" text="" dxfId="0">
      <formula>OR(K18=$J$17,K18=$J$18)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A320"/>
    <pageSetUpPr fitToPage="fals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6"/>
    <col collapsed="false" customWidth="true" hidden="false" outlineLevel="0" max="4" min="4" style="0" width="40"/>
    <col collapsed="false" customWidth="true" hidden="false" outlineLevel="0" max="5" min="5" style="0" width="42"/>
    <col collapsed="false" customWidth="true" hidden="false" outlineLevel="0" max="7" min="6" style="0" width="40"/>
  </cols>
  <sheetData>
    <row r="1" customFormat="false" ht="15" hidden="false" customHeight="false" outlineLevel="0" collapsed="false">
      <c r="A1" s="1"/>
      <c r="B1" s="1"/>
      <c r="C1" s="1"/>
      <c r="D1" s="1"/>
      <c r="E1" s="1"/>
      <c r="F1" s="1"/>
      <c r="G1" s="1"/>
    </row>
    <row r="2" customFormat="false" ht="22.05" hidden="false" customHeight="false" outlineLevel="0" collapsed="false">
      <c r="A2" s="1"/>
      <c r="B2" s="2" t="s">
        <v>214</v>
      </c>
      <c r="C2" s="1"/>
      <c r="D2" s="1"/>
      <c r="E2" s="1"/>
      <c r="F2" s="1"/>
      <c r="G2" s="1"/>
    </row>
    <row r="3" customFormat="false" ht="15" hidden="false" customHeight="false" outlineLevel="0" collapsed="false">
      <c r="A3" s="1"/>
      <c r="B3" s="5" t="s">
        <v>215</v>
      </c>
      <c r="C3" s="1"/>
      <c r="D3" s="1"/>
      <c r="E3" s="1"/>
      <c r="F3" s="1"/>
      <c r="G3" s="1"/>
    </row>
    <row r="4" customFormat="false" ht="15" hidden="false" customHeight="false" outlineLevel="0" collapsed="false">
      <c r="A4" s="1"/>
      <c r="B4" s="1"/>
      <c r="C4" s="1"/>
      <c r="D4" s="1"/>
      <c r="E4" s="1"/>
      <c r="F4" s="1"/>
      <c r="G4" s="1"/>
    </row>
    <row r="5" customFormat="false" ht="15" hidden="false" customHeight="false" outlineLevel="0" collapsed="false">
      <c r="A5" s="1"/>
      <c r="B5" s="15" t="s">
        <v>216</v>
      </c>
      <c r="C5" s="1"/>
      <c r="D5" s="1"/>
      <c r="E5" s="1"/>
      <c r="F5" s="1"/>
      <c r="G5" s="1"/>
    </row>
    <row r="6" customFormat="false" ht="31.5" hidden="false" customHeight="true" outlineLevel="0" collapsed="false">
      <c r="A6" s="1"/>
      <c r="B6" s="42" t="s">
        <v>217</v>
      </c>
      <c r="C6" s="48" t="s">
        <v>218</v>
      </c>
      <c r="D6" s="48"/>
      <c r="E6" s="48"/>
      <c r="F6" s="48"/>
      <c r="G6" s="48"/>
    </row>
    <row r="7" customFormat="false" ht="31.5" hidden="false" customHeight="true" outlineLevel="0" collapsed="false">
      <c r="A7" s="1"/>
      <c r="B7" s="42" t="s">
        <v>219</v>
      </c>
      <c r="C7" s="48" t="s">
        <v>220</v>
      </c>
      <c r="D7" s="48"/>
      <c r="E7" s="48"/>
      <c r="F7" s="48"/>
      <c r="G7" s="48"/>
    </row>
    <row r="8" customFormat="false" ht="31.5" hidden="false" customHeight="true" outlineLevel="0" collapsed="false">
      <c r="A8" s="1"/>
      <c r="B8" s="42" t="s">
        <v>221</v>
      </c>
      <c r="C8" s="48" t="s">
        <v>222</v>
      </c>
      <c r="D8" s="48"/>
      <c r="E8" s="48"/>
      <c r="F8" s="48"/>
      <c r="G8" s="48"/>
    </row>
    <row r="9" customFormat="false" ht="31.5" hidden="false" customHeight="true" outlineLevel="0" collapsed="false">
      <c r="A9" s="1"/>
      <c r="B9" s="42" t="s">
        <v>223</v>
      </c>
      <c r="C9" s="48" t="s">
        <v>224</v>
      </c>
      <c r="D9" s="48"/>
      <c r="E9" s="48"/>
      <c r="F9" s="48"/>
      <c r="G9" s="48"/>
    </row>
    <row r="10" customFormat="false" ht="31.5" hidden="false" customHeight="true" outlineLevel="0" collapsed="false">
      <c r="A10" s="1"/>
      <c r="B10" s="42" t="s">
        <v>225</v>
      </c>
      <c r="C10" s="48" t="s">
        <v>226</v>
      </c>
      <c r="D10" s="48"/>
      <c r="E10" s="48"/>
      <c r="F10" s="48"/>
      <c r="G10" s="48"/>
    </row>
    <row r="11" customFormat="false" ht="15" hidden="false" customHeight="false" outlineLevel="0" collapsed="false">
      <c r="A11" s="1"/>
      <c r="B11" s="1"/>
      <c r="C11" s="1"/>
      <c r="D11" s="1"/>
      <c r="E11" s="1"/>
      <c r="F11" s="1"/>
      <c r="G11" s="1"/>
    </row>
    <row r="12" customFormat="false" ht="15" hidden="false" customHeight="false" outlineLevel="0" collapsed="false">
      <c r="A12" s="1"/>
      <c r="B12" s="1"/>
      <c r="C12" s="1"/>
      <c r="D12" s="1"/>
      <c r="E12" s="1"/>
      <c r="F12" s="1"/>
      <c r="G12" s="1"/>
    </row>
    <row r="13" customFormat="false" ht="15" hidden="false" customHeight="false" outlineLevel="0" collapsed="false">
      <c r="A13" s="1"/>
      <c r="B13" s="15" t="s">
        <v>227</v>
      </c>
      <c r="C13" s="1"/>
      <c r="D13" s="1"/>
      <c r="E13" s="1"/>
      <c r="F13" s="1"/>
      <c r="G13" s="1"/>
    </row>
    <row r="14" customFormat="false" ht="15" hidden="false" customHeight="false" outlineLevel="0" collapsed="false">
      <c r="A14" s="1"/>
      <c r="B14" s="8" t="s">
        <v>228</v>
      </c>
      <c r="C14" s="8" t="s">
        <v>229</v>
      </c>
      <c r="D14" s="8" t="s">
        <v>230</v>
      </c>
      <c r="E14" s="8" t="s">
        <v>231</v>
      </c>
      <c r="F14" s="8" t="s">
        <v>232</v>
      </c>
      <c r="G14" s="8" t="s">
        <v>233</v>
      </c>
    </row>
    <row r="15" customFormat="false" ht="91.5" hidden="false" customHeight="true" outlineLevel="0" collapsed="false">
      <c r="A15" s="1"/>
      <c r="B15" s="49" t="s">
        <v>234</v>
      </c>
      <c r="C15" s="50" t="str">
        <f aca="false">'Scoring rules'!C16&amp;" to "&amp;('Scoring rules'!C17-1)</f>
        <v>0 to 39</v>
      </c>
      <c r="D15" s="22" t="s">
        <v>235</v>
      </c>
      <c r="E15" s="22" t="s">
        <v>236</v>
      </c>
      <c r="F15" s="22" t="s">
        <v>237</v>
      </c>
      <c r="G15" s="22" t="s">
        <v>238</v>
      </c>
    </row>
    <row r="16" customFormat="false" ht="91.5" hidden="false" customHeight="true" outlineLevel="0" collapsed="false">
      <c r="A16" s="1"/>
      <c r="B16" s="49" t="s">
        <v>239</v>
      </c>
      <c r="C16" s="50" t="str">
        <f aca="false">'Scoring rules'!C17&amp;" to "&amp;('Scoring rules'!C18-1)</f>
        <v>40 to 59</v>
      </c>
      <c r="D16" s="22" t="s">
        <v>240</v>
      </c>
      <c r="E16" s="22" t="s">
        <v>241</v>
      </c>
      <c r="F16" s="22" t="s">
        <v>242</v>
      </c>
      <c r="G16" s="22" t="s">
        <v>243</v>
      </c>
    </row>
    <row r="17" customFormat="false" ht="91.5" hidden="false" customHeight="true" outlineLevel="0" collapsed="false">
      <c r="A17" s="1"/>
      <c r="B17" s="49" t="s">
        <v>244</v>
      </c>
      <c r="C17" s="50" t="str">
        <f aca="false">'Scoring rules'!C18&amp;" to "&amp;('Scoring rules'!C19-1)</f>
        <v>60 to 79</v>
      </c>
      <c r="D17" s="22" t="s">
        <v>245</v>
      </c>
      <c r="E17" s="22" t="s">
        <v>246</v>
      </c>
      <c r="F17" s="22" t="s">
        <v>247</v>
      </c>
      <c r="G17" s="22" t="s">
        <v>248</v>
      </c>
    </row>
    <row r="18" customFormat="false" ht="91.5" hidden="false" customHeight="true" outlineLevel="0" collapsed="false">
      <c r="A18" s="1"/>
      <c r="B18" s="49" t="s">
        <v>249</v>
      </c>
      <c r="C18" s="50" t="str">
        <f aca="false">'Scoring rules'!C19&amp;" to 100"</f>
        <v>80 to 100</v>
      </c>
      <c r="D18" s="22" t="s">
        <v>250</v>
      </c>
      <c r="E18" s="22" t="s">
        <v>251</v>
      </c>
      <c r="F18" s="22" t="s">
        <v>252</v>
      </c>
      <c r="G18" s="22" t="s">
        <v>253</v>
      </c>
    </row>
    <row r="19" customFormat="false" ht="25.5" hidden="false" customHeight="true" outlineLevel="0" collapsed="false">
      <c r="A19" s="1"/>
      <c r="B19" s="30" t="s">
        <v>254</v>
      </c>
      <c r="C19" s="30"/>
      <c r="D19" s="30"/>
      <c r="E19" s="30"/>
      <c r="F19" s="30"/>
      <c r="G19" s="30"/>
    </row>
    <row r="20" customFormat="false" ht="15" hidden="false" customHeight="false" outlineLevel="0" collapsed="false">
      <c r="A20" s="1"/>
      <c r="B20" s="1"/>
      <c r="C20" s="1"/>
      <c r="D20" s="1"/>
      <c r="E20" s="1"/>
      <c r="F20" s="1"/>
      <c r="G20" s="1"/>
    </row>
    <row r="21" customFormat="false" ht="15" hidden="false" customHeight="false" outlineLevel="0" collapsed="false">
      <c r="A21" s="1"/>
      <c r="B21" s="15" t="s">
        <v>255</v>
      </c>
      <c r="C21" s="1"/>
      <c r="D21" s="1"/>
      <c r="E21" s="1"/>
      <c r="F21" s="1"/>
      <c r="G21" s="1"/>
    </row>
    <row r="22" customFormat="false" ht="15" hidden="false" customHeight="false" outlineLevel="0" collapsed="false">
      <c r="A22" s="1"/>
      <c r="B22" s="8" t="s">
        <v>256</v>
      </c>
      <c r="C22" s="8" t="s">
        <v>257</v>
      </c>
      <c r="D22" s="8" t="s">
        <v>258</v>
      </c>
      <c r="E22" s="8" t="s">
        <v>259</v>
      </c>
      <c r="F22" s="8" t="s">
        <v>260</v>
      </c>
      <c r="G22" s="1"/>
    </row>
    <row r="23" customFormat="false" ht="63.75" hidden="false" customHeight="true" outlineLevel="0" collapsed="false">
      <c r="A23" s="1"/>
      <c r="B23" s="42" t="s">
        <v>261</v>
      </c>
      <c r="C23" s="22" t="s">
        <v>262</v>
      </c>
      <c r="D23" s="22" t="s">
        <v>263</v>
      </c>
      <c r="E23" s="22" t="s">
        <v>264</v>
      </c>
      <c r="F23" s="22" t="s">
        <v>265</v>
      </c>
      <c r="G23" s="1"/>
    </row>
    <row r="24" customFormat="false" ht="63.75" hidden="false" customHeight="true" outlineLevel="0" collapsed="false">
      <c r="A24" s="1"/>
      <c r="B24" s="51" t="s">
        <v>266</v>
      </c>
      <c r="C24" s="52" t="s">
        <v>267</v>
      </c>
      <c r="D24" s="52" t="s">
        <v>268</v>
      </c>
      <c r="E24" s="52" t="s">
        <v>269</v>
      </c>
      <c r="F24" s="52" t="s">
        <v>270</v>
      </c>
      <c r="G24" s="1"/>
    </row>
    <row r="25" customFormat="false" ht="63.75" hidden="false" customHeight="true" outlineLevel="0" collapsed="false">
      <c r="A25" s="1"/>
      <c r="B25" s="42" t="s">
        <v>271</v>
      </c>
      <c r="C25" s="22" t="s">
        <v>272</v>
      </c>
      <c r="D25" s="22" t="s">
        <v>273</v>
      </c>
      <c r="E25" s="22" t="s">
        <v>274</v>
      </c>
      <c r="F25" s="22" t="s">
        <v>275</v>
      </c>
      <c r="G25" s="1"/>
    </row>
    <row r="26" customFormat="false" ht="63.75" hidden="false" customHeight="true" outlineLevel="0" collapsed="false">
      <c r="A26" s="1"/>
      <c r="B26" s="42" t="s">
        <v>276</v>
      </c>
      <c r="C26" s="22" t="s">
        <v>277</v>
      </c>
      <c r="D26" s="22" t="s">
        <v>278</v>
      </c>
      <c r="E26" s="22" t="s">
        <v>279</v>
      </c>
      <c r="F26" s="22" t="s">
        <v>280</v>
      </c>
      <c r="G26" s="1"/>
    </row>
    <row r="27" customFormat="false" ht="15" hidden="false" customHeight="false" outlineLevel="0" collapsed="false">
      <c r="A27" s="1"/>
      <c r="B27" s="1"/>
      <c r="C27" s="1"/>
      <c r="D27" s="1"/>
      <c r="E27" s="1"/>
      <c r="F27" s="1"/>
      <c r="G27" s="1"/>
    </row>
    <row r="28" customFormat="false" ht="15" hidden="false" customHeight="false" outlineLevel="0" collapsed="false">
      <c r="A28" s="1"/>
      <c r="B28" s="15" t="s">
        <v>281</v>
      </c>
      <c r="C28" s="1"/>
      <c r="D28" s="1"/>
      <c r="E28" s="1"/>
      <c r="F28" s="1"/>
      <c r="G28" s="1"/>
    </row>
    <row r="29" customFormat="false" ht="30" hidden="false" customHeight="true" outlineLevel="0" collapsed="false">
      <c r="A29" s="1"/>
      <c r="B29" s="42" t="s">
        <v>282</v>
      </c>
      <c r="C29" s="48" t="s">
        <v>283</v>
      </c>
      <c r="D29" s="48"/>
      <c r="E29" s="48"/>
      <c r="F29" s="48"/>
      <c r="G29" s="48"/>
    </row>
    <row r="30" customFormat="false" ht="30" hidden="false" customHeight="true" outlineLevel="0" collapsed="false">
      <c r="A30" s="1"/>
      <c r="B30" s="42" t="s">
        <v>284</v>
      </c>
      <c r="C30" s="48" t="s">
        <v>285</v>
      </c>
      <c r="D30" s="48"/>
      <c r="E30" s="48"/>
      <c r="F30" s="48"/>
      <c r="G30" s="48"/>
    </row>
    <row r="31" customFormat="false" ht="30" hidden="false" customHeight="true" outlineLevel="0" collapsed="false">
      <c r="A31" s="1"/>
      <c r="B31" s="42" t="s">
        <v>286</v>
      </c>
      <c r="C31" s="48" t="s">
        <v>287</v>
      </c>
      <c r="D31" s="48"/>
      <c r="E31" s="48"/>
      <c r="F31" s="48"/>
      <c r="G31" s="48"/>
    </row>
    <row r="32" customFormat="false" ht="30" hidden="false" customHeight="true" outlineLevel="0" collapsed="false">
      <c r="A32" s="1"/>
      <c r="B32" s="42" t="s">
        <v>288</v>
      </c>
      <c r="C32" s="48" t="s">
        <v>289</v>
      </c>
      <c r="D32" s="48"/>
      <c r="E32" s="48"/>
      <c r="F32" s="48"/>
      <c r="G32" s="48"/>
    </row>
    <row r="33" customFormat="false" ht="30" hidden="false" customHeight="true" outlineLevel="0" collapsed="false">
      <c r="A33" s="1"/>
      <c r="B33" s="42" t="s">
        <v>290</v>
      </c>
      <c r="C33" s="48" t="s">
        <v>291</v>
      </c>
      <c r="D33" s="48"/>
      <c r="E33" s="48"/>
      <c r="F33" s="48"/>
      <c r="G33" s="48"/>
    </row>
    <row r="34" customFormat="false" ht="30" hidden="false" customHeight="true" outlineLevel="0" collapsed="false">
      <c r="A34" s="1"/>
      <c r="B34" s="42" t="s">
        <v>292</v>
      </c>
      <c r="C34" s="48" t="s">
        <v>293</v>
      </c>
      <c r="D34" s="48"/>
      <c r="E34" s="48"/>
      <c r="F34" s="48"/>
      <c r="G34" s="48"/>
    </row>
    <row r="35" customFormat="false" ht="30" hidden="false" customHeight="true" outlineLevel="0" collapsed="false">
      <c r="A35" s="1"/>
      <c r="B35" s="42" t="s">
        <v>294</v>
      </c>
      <c r="C35" s="48" t="s">
        <v>295</v>
      </c>
      <c r="D35" s="48"/>
      <c r="E35" s="48"/>
      <c r="F35" s="48"/>
      <c r="G35" s="48"/>
    </row>
    <row r="36" customFormat="false" ht="30" hidden="false" customHeight="true" outlineLevel="0" collapsed="false">
      <c r="A36" s="1"/>
      <c r="B36" s="42" t="s">
        <v>296</v>
      </c>
      <c r="C36" s="48" t="s">
        <v>297</v>
      </c>
      <c r="D36" s="48"/>
      <c r="E36" s="48"/>
      <c r="F36" s="48"/>
      <c r="G36" s="48"/>
    </row>
    <row r="37" customFormat="false" ht="15" hidden="false" customHeight="false" outlineLevel="0" collapsed="false">
      <c r="A37" s="1"/>
      <c r="B37" s="1"/>
      <c r="C37" s="1"/>
      <c r="D37" s="1"/>
      <c r="E37" s="1"/>
      <c r="F37" s="1"/>
      <c r="G37" s="1"/>
    </row>
    <row r="38" customFormat="false" ht="15" hidden="false" customHeight="false" outlineLevel="0" collapsed="false">
      <c r="A38" s="1"/>
      <c r="B38" s="15" t="s">
        <v>298</v>
      </c>
      <c r="C38" s="1"/>
      <c r="D38" s="1"/>
      <c r="E38" s="1"/>
      <c r="F38" s="1"/>
      <c r="G38" s="1"/>
    </row>
    <row r="39" customFormat="false" ht="15" hidden="false" customHeight="false" outlineLevel="0" collapsed="false">
      <c r="A39" s="1"/>
      <c r="B39" s="8" t="s">
        <v>299</v>
      </c>
      <c r="C39" s="8" t="s">
        <v>300</v>
      </c>
      <c r="D39" s="8" t="s">
        <v>301</v>
      </c>
      <c r="E39" s="8" t="s">
        <v>302</v>
      </c>
      <c r="F39" s="8" t="s">
        <v>303</v>
      </c>
      <c r="G39" s="1"/>
    </row>
    <row r="40" customFormat="false" ht="21.75" hidden="false" customHeight="true" outlineLevel="0" collapsed="false">
      <c r="A40" s="1"/>
      <c r="B40" s="53" t="s">
        <v>304</v>
      </c>
      <c r="C40" s="12"/>
      <c r="D40" s="53"/>
      <c r="E40" s="53"/>
      <c r="F40" s="53"/>
      <c r="G40" s="1"/>
    </row>
    <row r="41" customFormat="false" ht="21.75" hidden="false" customHeight="true" outlineLevel="0" collapsed="false">
      <c r="A41" s="1"/>
      <c r="B41" s="53"/>
      <c r="C41" s="12"/>
      <c r="D41" s="53"/>
      <c r="E41" s="53"/>
      <c r="F41" s="53"/>
      <c r="G41" s="1"/>
    </row>
    <row r="42" customFormat="false" ht="21.75" hidden="false" customHeight="true" outlineLevel="0" collapsed="false">
      <c r="A42" s="1"/>
      <c r="B42" s="53"/>
      <c r="C42" s="12"/>
      <c r="D42" s="53"/>
      <c r="E42" s="53"/>
      <c r="F42" s="53"/>
      <c r="G42" s="1"/>
    </row>
    <row r="43" customFormat="false" ht="21.75" hidden="false" customHeight="true" outlineLevel="0" collapsed="false">
      <c r="A43" s="1"/>
      <c r="B43" s="53"/>
      <c r="C43" s="12"/>
      <c r="D43" s="53"/>
      <c r="E43" s="53"/>
      <c r="F43" s="53"/>
      <c r="G43" s="1"/>
    </row>
  </sheetData>
  <mergeCells count="14">
    <mergeCell ref="C6:G6"/>
    <mergeCell ref="C7:G7"/>
    <mergeCell ref="C8:G8"/>
    <mergeCell ref="C9:G9"/>
    <mergeCell ref="C10:G10"/>
    <mergeCell ref="B19:G19"/>
    <mergeCell ref="C29:G29"/>
    <mergeCell ref="C30:G30"/>
    <mergeCell ref="C31:G31"/>
    <mergeCell ref="C32:G32"/>
    <mergeCell ref="C33:G33"/>
    <mergeCell ref="C34:G34"/>
    <mergeCell ref="C35:G35"/>
    <mergeCell ref="C36:G36"/>
  </mergeCells>
  <dataValidations count="1">
    <dataValidation allowBlank="true" errorStyle="stop" operator="between" showDropDown="false" showErrorMessage="false" showInputMessage="false" sqref="C40:C43" type="list">
      <formula1>"Yes,No,With changes"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EA320"/>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12"/>
    <col collapsed="false" customWidth="true" hidden="false" outlineLevel="0" max="4" min="4" style="0" width="16"/>
    <col collapsed="false" customWidth="true" hidden="false" outlineLevel="0" max="5" min="5" style="0" width="40"/>
    <col collapsed="false" customWidth="true" hidden="false" outlineLevel="0" max="7" min="6" style="0" width="36"/>
    <col collapsed="false" customWidth="true" hidden="false" outlineLevel="0" max="9" min="8" style="0" width="40"/>
  </cols>
  <sheetData>
    <row r="1" customFormat="false" ht="15" hidden="false" customHeight="false" outlineLevel="0" collapsed="false">
      <c r="A1" s="1"/>
      <c r="B1" s="1"/>
      <c r="C1" s="1"/>
      <c r="D1" s="1"/>
      <c r="E1" s="1"/>
      <c r="F1" s="1"/>
      <c r="G1" s="1"/>
      <c r="H1" s="1"/>
      <c r="I1" s="1"/>
    </row>
    <row r="2" customFormat="false" ht="22.05" hidden="false" customHeight="false" outlineLevel="0" collapsed="false">
      <c r="A2" s="1"/>
      <c r="B2" s="2" t="s">
        <v>305</v>
      </c>
      <c r="C2" s="1"/>
      <c r="D2" s="1"/>
      <c r="E2" s="1"/>
      <c r="F2" s="1"/>
      <c r="G2" s="1"/>
      <c r="H2" s="1"/>
      <c r="I2" s="1"/>
    </row>
    <row r="3" customFormat="false" ht="15" hidden="false" customHeight="false" outlineLevel="0" collapsed="false">
      <c r="A3" s="1"/>
      <c r="B3" s="5" t="s">
        <v>306</v>
      </c>
      <c r="C3" s="1"/>
      <c r="D3" s="1"/>
      <c r="E3" s="1"/>
      <c r="F3" s="1"/>
      <c r="G3" s="1"/>
      <c r="H3" s="1"/>
      <c r="I3" s="1"/>
    </row>
    <row r="4" customFormat="false" ht="15" hidden="false" customHeight="false" outlineLevel="0" collapsed="false">
      <c r="A4" s="1"/>
      <c r="B4" s="1"/>
      <c r="C4" s="1"/>
      <c r="D4" s="1"/>
      <c r="E4" s="1"/>
      <c r="F4" s="1"/>
      <c r="G4" s="1"/>
      <c r="H4" s="1"/>
      <c r="I4" s="1"/>
    </row>
    <row r="5" customFormat="false" ht="15" hidden="false" customHeight="false" outlineLevel="0" collapsed="false">
      <c r="A5" s="1"/>
      <c r="B5" s="15" t="s">
        <v>307</v>
      </c>
      <c r="C5" s="1"/>
      <c r="D5" s="1"/>
      <c r="E5" s="1"/>
      <c r="F5" s="1"/>
      <c r="G5" s="1"/>
      <c r="H5" s="1"/>
      <c r="I5" s="1"/>
    </row>
    <row r="6" customFormat="false" ht="35.05" hidden="false" customHeight="false" outlineLevel="0" collapsed="false">
      <c r="A6" s="1"/>
      <c r="B6" s="8" t="s">
        <v>24</v>
      </c>
      <c r="C6" s="8" t="s">
        <v>308</v>
      </c>
      <c r="D6" s="8" t="s">
        <v>309</v>
      </c>
      <c r="E6" s="8" t="s">
        <v>310</v>
      </c>
      <c r="F6" s="8" t="s">
        <v>221</v>
      </c>
      <c r="G6" s="8" t="s">
        <v>311</v>
      </c>
      <c r="H6" s="8" t="s">
        <v>312</v>
      </c>
      <c r="I6" s="8" t="s">
        <v>313</v>
      </c>
    </row>
    <row r="7" customFormat="false" ht="78" hidden="false" customHeight="true" outlineLevel="0" collapsed="false">
      <c r="A7" s="1"/>
      <c r="B7" s="49" t="s">
        <v>70</v>
      </c>
      <c r="C7" s="22" t="s">
        <v>267</v>
      </c>
      <c r="D7" s="22" t="s">
        <v>35</v>
      </c>
      <c r="E7" s="54" t="s">
        <v>314</v>
      </c>
      <c r="F7" s="22" t="s">
        <v>315</v>
      </c>
      <c r="G7" s="22" t="s">
        <v>316</v>
      </c>
      <c r="H7" s="22" t="s">
        <v>317</v>
      </c>
      <c r="I7" s="22" t="s">
        <v>318</v>
      </c>
    </row>
    <row r="8" customFormat="false" ht="78" hidden="false" customHeight="true" outlineLevel="0" collapsed="false">
      <c r="A8" s="1"/>
      <c r="B8" s="49" t="s">
        <v>71</v>
      </c>
      <c r="C8" s="22" t="s">
        <v>267</v>
      </c>
      <c r="D8" s="22" t="s">
        <v>319</v>
      </c>
      <c r="E8" s="54" t="s">
        <v>320</v>
      </c>
      <c r="F8" s="22" t="s">
        <v>321</v>
      </c>
      <c r="G8" s="22" t="s">
        <v>322</v>
      </c>
      <c r="H8" s="22" t="s">
        <v>323</v>
      </c>
      <c r="I8" s="22" t="s">
        <v>324</v>
      </c>
    </row>
    <row r="9" customFormat="false" ht="78" hidden="false" customHeight="true" outlineLevel="0" collapsed="false">
      <c r="A9" s="1"/>
      <c r="B9" s="49" t="s">
        <v>72</v>
      </c>
      <c r="C9" s="22" t="s">
        <v>267</v>
      </c>
      <c r="D9" s="22" t="s">
        <v>325</v>
      </c>
      <c r="E9" s="54" t="s">
        <v>326</v>
      </c>
      <c r="F9" s="22" t="s">
        <v>327</v>
      </c>
      <c r="G9" s="22" t="s">
        <v>328</v>
      </c>
      <c r="H9" s="22" t="s">
        <v>329</v>
      </c>
      <c r="I9" s="22" t="s">
        <v>330</v>
      </c>
    </row>
    <row r="10" customFormat="false" ht="78" hidden="false" customHeight="true" outlineLevel="0" collapsed="false">
      <c r="A10" s="1"/>
      <c r="B10" s="49" t="s">
        <v>68</v>
      </c>
      <c r="C10" s="22" t="s">
        <v>331</v>
      </c>
      <c r="D10" s="22" t="s">
        <v>29</v>
      </c>
      <c r="E10" s="54" t="s">
        <v>332</v>
      </c>
      <c r="F10" s="22" t="s">
        <v>333</v>
      </c>
      <c r="G10" s="22" t="s">
        <v>334</v>
      </c>
      <c r="H10" s="22" t="s">
        <v>335</v>
      </c>
      <c r="I10" s="22" t="s">
        <v>336</v>
      </c>
    </row>
    <row r="11" customFormat="false" ht="78" hidden="false" customHeight="true" outlineLevel="0" collapsed="false">
      <c r="A11" s="1"/>
      <c r="B11" s="49" t="s">
        <v>69</v>
      </c>
      <c r="C11" s="22" t="s">
        <v>337</v>
      </c>
      <c r="D11" s="22" t="s">
        <v>33</v>
      </c>
      <c r="E11" s="54" t="s">
        <v>338</v>
      </c>
      <c r="F11" s="22" t="s">
        <v>339</v>
      </c>
      <c r="G11" s="22" t="s">
        <v>340</v>
      </c>
      <c r="H11" s="22" t="s">
        <v>341</v>
      </c>
      <c r="I11" s="22" t="s">
        <v>342</v>
      </c>
    </row>
    <row r="12" customFormat="false" ht="15" hidden="false" customHeight="false" outlineLevel="0" collapsed="false">
      <c r="A12" s="1"/>
      <c r="B12" s="1"/>
      <c r="C12" s="1"/>
      <c r="D12" s="1"/>
      <c r="E12" s="1"/>
      <c r="F12" s="1"/>
      <c r="G12" s="1"/>
      <c r="H12" s="1"/>
      <c r="I12" s="1"/>
    </row>
    <row r="13" customFormat="false" ht="15" hidden="false" customHeight="false" outlineLevel="0" collapsed="false">
      <c r="A13" s="1"/>
      <c r="B13" s="15" t="s">
        <v>343</v>
      </c>
      <c r="C13" s="1"/>
      <c r="D13" s="1"/>
      <c r="E13" s="1"/>
      <c r="F13" s="1"/>
      <c r="G13" s="1"/>
      <c r="H13" s="1"/>
      <c r="I13" s="1"/>
    </row>
    <row r="14" customFormat="false" ht="18" hidden="false" customHeight="true" outlineLevel="0" collapsed="false">
      <c r="A14" s="1"/>
      <c r="B14" s="30" t="s">
        <v>344</v>
      </c>
      <c r="C14" s="30"/>
      <c r="D14" s="30"/>
      <c r="E14" s="30"/>
      <c r="F14" s="30"/>
      <c r="G14" s="30"/>
      <c r="H14" s="30"/>
      <c r="I14" s="30"/>
    </row>
    <row r="15" customFormat="false" ht="15" hidden="false" customHeight="false" outlineLevel="0" collapsed="false">
      <c r="A15" s="1"/>
      <c r="B15" s="8" t="s">
        <v>24</v>
      </c>
      <c r="C15" s="8" t="s">
        <v>61</v>
      </c>
      <c r="D15" s="8" t="s">
        <v>229</v>
      </c>
      <c r="E15" s="8" t="s">
        <v>231</v>
      </c>
      <c r="F15" s="8" t="s">
        <v>345</v>
      </c>
      <c r="G15" s="8" t="s">
        <v>346</v>
      </c>
      <c r="H15" s="8" t="s">
        <v>347</v>
      </c>
      <c r="I15" s="8" t="s">
        <v>348</v>
      </c>
    </row>
    <row r="16" customFormat="false" ht="63.75" hidden="false" customHeight="true" outlineLevel="0" collapsed="false">
      <c r="A16" s="1"/>
      <c r="B16" s="42" t="s">
        <v>70</v>
      </c>
      <c r="C16" s="22" t="s">
        <v>349</v>
      </c>
      <c r="D16" s="22" t="str">
        <f aca="false">"0 to "&amp;('Scoring rules'!C7-1)</f>
        <v>0 to 39</v>
      </c>
      <c r="E16" s="22" t="s">
        <v>350</v>
      </c>
      <c r="F16" s="22" t="s">
        <v>351</v>
      </c>
      <c r="G16" s="22" t="s">
        <v>352</v>
      </c>
      <c r="H16" s="22" t="s">
        <v>353</v>
      </c>
      <c r="I16" s="55" t="s">
        <v>354</v>
      </c>
    </row>
    <row r="17" customFormat="false" ht="63.75" hidden="false" customHeight="true" outlineLevel="0" collapsed="false">
      <c r="A17" s="1"/>
      <c r="B17" s="42" t="s">
        <v>70</v>
      </c>
      <c r="C17" s="22" t="s">
        <v>355</v>
      </c>
      <c r="D17" s="22" t="str">
        <f aca="false">'Scoring rules'!C7&amp;" to "&amp;'Scoring rules'!C8</f>
        <v>40 to 60</v>
      </c>
      <c r="E17" s="22" t="s">
        <v>356</v>
      </c>
      <c r="F17" s="22" t="s">
        <v>357</v>
      </c>
      <c r="G17" s="22" t="s">
        <v>358</v>
      </c>
      <c r="H17" s="22" t="s">
        <v>359</v>
      </c>
      <c r="I17" s="55" t="s">
        <v>360</v>
      </c>
    </row>
    <row r="18" customFormat="false" ht="63.75" hidden="false" customHeight="true" outlineLevel="0" collapsed="false">
      <c r="A18" s="1"/>
      <c r="B18" s="56" t="s">
        <v>70</v>
      </c>
      <c r="C18" s="57" t="s">
        <v>361</v>
      </c>
      <c r="D18" s="57" t="str">
        <f aca="false">('Scoring rules'!C8+1)&amp;" to 100"</f>
        <v>61 to 100</v>
      </c>
      <c r="E18" s="57" t="s">
        <v>362</v>
      </c>
      <c r="F18" s="57" t="s">
        <v>363</v>
      </c>
      <c r="G18" s="57" t="s">
        <v>364</v>
      </c>
      <c r="H18" s="57" t="s">
        <v>365</v>
      </c>
      <c r="I18" s="58" t="s">
        <v>366</v>
      </c>
    </row>
    <row r="19" customFormat="false" ht="63.75" hidden="false" customHeight="true" outlineLevel="0" collapsed="false">
      <c r="A19" s="1"/>
      <c r="B19" s="42" t="s">
        <v>71</v>
      </c>
      <c r="C19" s="22" t="s">
        <v>349</v>
      </c>
      <c r="D19" s="22" t="str">
        <f aca="false">"0 to "&amp;('Scoring rules'!C7-1)</f>
        <v>0 to 39</v>
      </c>
      <c r="E19" s="22" t="s">
        <v>367</v>
      </c>
      <c r="F19" s="22" t="s">
        <v>368</v>
      </c>
      <c r="G19" s="22" t="s">
        <v>369</v>
      </c>
      <c r="H19" s="22" t="s">
        <v>370</v>
      </c>
      <c r="I19" s="55" t="s">
        <v>371</v>
      </c>
    </row>
    <row r="20" customFormat="false" ht="63.75" hidden="false" customHeight="true" outlineLevel="0" collapsed="false">
      <c r="A20" s="1"/>
      <c r="B20" s="42" t="s">
        <v>71</v>
      </c>
      <c r="C20" s="22" t="s">
        <v>355</v>
      </c>
      <c r="D20" s="22" t="str">
        <f aca="false">'Scoring rules'!C7&amp;" to "&amp;'Scoring rules'!C8</f>
        <v>40 to 60</v>
      </c>
      <c r="E20" s="22" t="s">
        <v>372</v>
      </c>
      <c r="F20" s="22" t="s">
        <v>373</v>
      </c>
      <c r="G20" s="22" t="s">
        <v>374</v>
      </c>
      <c r="H20" s="22" t="s">
        <v>375</v>
      </c>
      <c r="I20" s="55" t="s">
        <v>376</v>
      </c>
    </row>
    <row r="21" customFormat="false" ht="63.75" hidden="false" customHeight="true" outlineLevel="0" collapsed="false">
      <c r="A21" s="1"/>
      <c r="B21" s="56" t="s">
        <v>71</v>
      </c>
      <c r="C21" s="57" t="s">
        <v>361</v>
      </c>
      <c r="D21" s="57" t="str">
        <f aca="false">('Scoring rules'!C8+1)&amp;" to 100"</f>
        <v>61 to 100</v>
      </c>
      <c r="E21" s="57" t="s">
        <v>377</v>
      </c>
      <c r="F21" s="57" t="s">
        <v>378</v>
      </c>
      <c r="G21" s="57" t="s">
        <v>379</v>
      </c>
      <c r="H21" s="57" t="s">
        <v>380</v>
      </c>
      <c r="I21" s="58" t="s">
        <v>381</v>
      </c>
    </row>
    <row r="22" customFormat="false" ht="63.75" hidden="false" customHeight="true" outlineLevel="0" collapsed="false">
      <c r="A22" s="1"/>
      <c r="B22" s="42" t="s">
        <v>72</v>
      </c>
      <c r="C22" s="22" t="s">
        <v>349</v>
      </c>
      <c r="D22" s="22" t="str">
        <f aca="false">"0 to "&amp;('Scoring rules'!C7-1)</f>
        <v>0 to 39</v>
      </c>
      <c r="E22" s="22" t="s">
        <v>382</v>
      </c>
      <c r="F22" s="22" t="s">
        <v>383</v>
      </c>
      <c r="G22" s="22" t="s">
        <v>384</v>
      </c>
      <c r="H22" s="22" t="s">
        <v>385</v>
      </c>
      <c r="I22" s="55" t="s">
        <v>386</v>
      </c>
    </row>
    <row r="23" customFormat="false" ht="63.75" hidden="false" customHeight="true" outlineLevel="0" collapsed="false">
      <c r="A23" s="1"/>
      <c r="B23" s="42" t="s">
        <v>72</v>
      </c>
      <c r="C23" s="22" t="s">
        <v>355</v>
      </c>
      <c r="D23" s="22" t="str">
        <f aca="false">'Scoring rules'!C7&amp;" to "&amp;'Scoring rules'!C8</f>
        <v>40 to 60</v>
      </c>
      <c r="E23" s="22" t="s">
        <v>387</v>
      </c>
      <c r="F23" s="22" t="s">
        <v>388</v>
      </c>
      <c r="G23" s="22" t="s">
        <v>389</v>
      </c>
      <c r="H23" s="22" t="s">
        <v>390</v>
      </c>
      <c r="I23" s="55" t="s">
        <v>391</v>
      </c>
    </row>
    <row r="24" customFormat="false" ht="63.75" hidden="false" customHeight="true" outlineLevel="0" collapsed="false">
      <c r="A24" s="1"/>
      <c r="B24" s="56" t="s">
        <v>72</v>
      </c>
      <c r="C24" s="57" t="s">
        <v>361</v>
      </c>
      <c r="D24" s="57" t="str">
        <f aca="false">('Scoring rules'!C8+1)&amp;" to 100"</f>
        <v>61 to 100</v>
      </c>
      <c r="E24" s="57" t="s">
        <v>392</v>
      </c>
      <c r="F24" s="57" t="s">
        <v>393</v>
      </c>
      <c r="G24" s="57" t="s">
        <v>394</v>
      </c>
      <c r="H24" s="57" t="s">
        <v>395</v>
      </c>
      <c r="I24" s="58" t="s">
        <v>396</v>
      </c>
    </row>
    <row r="25" customFormat="false" ht="63.75" hidden="false" customHeight="true" outlineLevel="0" collapsed="false">
      <c r="A25" s="1"/>
      <c r="B25" s="42" t="s">
        <v>68</v>
      </c>
      <c r="C25" s="22" t="s">
        <v>349</v>
      </c>
      <c r="D25" s="22" t="str">
        <f aca="false">"0 to "&amp;('Scoring rules'!C7-1)</f>
        <v>0 to 39</v>
      </c>
      <c r="E25" s="22" t="s">
        <v>397</v>
      </c>
      <c r="F25" s="22" t="s">
        <v>398</v>
      </c>
      <c r="G25" s="22" t="s">
        <v>399</v>
      </c>
      <c r="H25" s="22" t="s">
        <v>400</v>
      </c>
      <c r="I25" s="55" t="s">
        <v>401</v>
      </c>
    </row>
    <row r="26" customFormat="false" ht="63.75" hidden="false" customHeight="true" outlineLevel="0" collapsed="false">
      <c r="A26" s="1"/>
      <c r="B26" s="42" t="s">
        <v>68</v>
      </c>
      <c r="C26" s="22" t="s">
        <v>355</v>
      </c>
      <c r="D26" s="22" t="str">
        <f aca="false">'Scoring rules'!C7&amp;" to "&amp;'Scoring rules'!C8</f>
        <v>40 to 60</v>
      </c>
      <c r="E26" s="22" t="s">
        <v>402</v>
      </c>
      <c r="F26" s="22" t="s">
        <v>403</v>
      </c>
      <c r="G26" s="22" t="s">
        <v>404</v>
      </c>
      <c r="H26" s="22" t="s">
        <v>405</v>
      </c>
      <c r="I26" s="55" t="s">
        <v>406</v>
      </c>
    </row>
    <row r="27" customFormat="false" ht="63.75" hidden="false" customHeight="true" outlineLevel="0" collapsed="false">
      <c r="A27" s="1"/>
      <c r="B27" s="56" t="s">
        <v>68</v>
      </c>
      <c r="C27" s="57" t="s">
        <v>361</v>
      </c>
      <c r="D27" s="57" t="str">
        <f aca="false">('Scoring rules'!C8+1)&amp;" to 100"</f>
        <v>61 to 100</v>
      </c>
      <c r="E27" s="57" t="s">
        <v>407</v>
      </c>
      <c r="F27" s="57" t="s">
        <v>408</v>
      </c>
      <c r="G27" s="57" t="s">
        <v>409</v>
      </c>
      <c r="H27" s="57" t="s">
        <v>410</v>
      </c>
      <c r="I27" s="58" t="s">
        <v>411</v>
      </c>
    </row>
    <row r="28" customFormat="false" ht="63.75" hidden="false" customHeight="true" outlineLevel="0" collapsed="false">
      <c r="A28" s="1"/>
      <c r="B28" s="42" t="s">
        <v>69</v>
      </c>
      <c r="C28" s="22" t="s">
        <v>349</v>
      </c>
      <c r="D28" s="22" t="str">
        <f aca="false">"0 to "&amp;('Scoring rules'!C7-1)</f>
        <v>0 to 39</v>
      </c>
      <c r="E28" s="22" t="s">
        <v>412</v>
      </c>
      <c r="F28" s="22" t="s">
        <v>413</v>
      </c>
      <c r="G28" s="22" t="s">
        <v>414</v>
      </c>
      <c r="H28" s="22" t="s">
        <v>415</v>
      </c>
      <c r="I28" s="55" t="s">
        <v>416</v>
      </c>
    </row>
    <row r="29" customFormat="false" ht="63.75" hidden="false" customHeight="true" outlineLevel="0" collapsed="false">
      <c r="A29" s="1"/>
      <c r="B29" s="42" t="s">
        <v>69</v>
      </c>
      <c r="C29" s="22" t="s">
        <v>355</v>
      </c>
      <c r="D29" s="22" t="str">
        <f aca="false">'Scoring rules'!C7&amp;" to "&amp;'Scoring rules'!C8</f>
        <v>40 to 60</v>
      </c>
      <c r="E29" s="22" t="s">
        <v>417</v>
      </c>
      <c r="F29" s="22" t="s">
        <v>418</v>
      </c>
      <c r="G29" s="22" t="s">
        <v>419</v>
      </c>
      <c r="H29" s="22" t="s">
        <v>420</v>
      </c>
      <c r="I29" s="55" t="s">
        <v>421</v>
      </c>
    </row>
    <row r="30" customFormat="false" ht="63.75" hidden="false" customHeight="true" outlineLevel="0" collapsed="false">
      <c r="A30" s="1"/>
      <c r="B30" s="56" t="s">
        <v>69</v>
      </c>
      <c r="C30" s="57" t="s">
        <v>361</v>
      </c>
      <c r="D30" s="57" t="str">
        <f aca="false">('Scoring rules'!C8+1)&amp;" to 100"</f>
        <v>61 to 100</v>
      </c>
      <c r="E30" s="57" t="s">
        <v>422</v>
      </c>
      <c r="F30" s="57" t="s">
        <v>423</v>
      </c>
      <c r="G30" s="57" t="s">
        <v>424</v>
      </c>
      <c r="H30" s="57" t="s">
        <v>425</v>
      </c>
      <c r="I30" s="58" t="s">
        <v>426</v>
      </c>
    </row>
  </sheetData>
  <mergeCells count="1">
    <mergeCell ref="B14: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fals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6" min="6" style="0" width="60"/>
  </cols>
  <sheetData>
    <row r="1" customFormat="false" ht="15" hidden="false" customHeight="false" outlineLevel="0" collapsed="false">
      <c r="A1" s="1"/>
      <c r="B1" s="1"/>
      <c r="C1" s="1"/>
      <c r="D1" s="1"/>
      <c r="E1" s="1"/>
      <c r="F1" s="1"/>
    </row>
    <row r="2" customFormat="false" ht="22.05" hidden="false" customHeight="false" outlineLevel="0" collapsed="false">
      <c r="A2" s="1"/>
      <c r="B2" s="2" t="s">
        <v>427</v>
      </c>
      <c r="C2" s="1"/>
      <c r="D2" s="1"/>
      <c r="E2" s="1"/>
      <c r="F2" s="1"/>
    </row>
    <row r="3" customFormat="false" ht="15" hidden="false" customHeight="false" outlineLevel="0" collapsed="false">
      <c r="A3" s="1"/>
      <c r="B3" s="5" t="s">
        <v>428</v>
      </c>
      <c r="C3" s="1"/>
      <c r="D3" s="1"/>
      <c r="E3" s="1"/>
      <c r="F3" s="1"/>
    </row>
    <row r="4" customFormat="false" ht="15" hidden="false" customHeight="false" outlineLevel="0" collapsed="false">
      <c r="A4" s="1"/>
      <c r="B4" s="1"/>
      <c r="C4" s="1"/>
      <c r="D4" s="1"/>
      <c r="E4" s="1"/>
      <c r="F4" s="1"/>
    </row>
    <row r="5" customFormat="false" ht="15" hidden="false" customHeight="false" outlineLevel="0" collapsed="false">
      <c r="A5" s="1"/>
      <c r="B5" s="15" t="s">
        <v>429</v>
      </c>
      <c r="C5" s="1"/>
      <c r="D5" s="1"/>
      <c r="E5" s="1"/>
      <c r="F5" s="1"/>
    </row>
    <row r="6" customFormat="false" ht="15" hidden="false" customHeight="false" outlineLevel="0" collapsed="false">
      <c r="A6" s="1"/>
      <c r="B6" s="8" t="s">
        <v>430</v>
      </c>
      <c r="C6" s="8" t="s">
        <v>76</v>
      </c>
      <c r="D6" s="1"/>
      <c r="E6" s="1"/>
      <c r="F6" s="8" t="s">
        <v>431</v>
      </c>
    </row>
    <row r="7" customFormat="false" ht="15" hidden="false" customHeight="false" outlineLevel="0" collapsed="false">
      <c r="A7" s="1"/>
      <c r="B7" s="53" t="s">
        <v>432</v>
      </c>
      <c r="C7" s="12" t="n">
        <v>40</v>
      </c>
      <c r="D7" s="1"/>
      <c r="E7" s="1"/>
      <c r="F7" s="22" t="s">
        <v>433</v>
      </c>
    </row>
    <row r="8" customFormat="false" ht="15" hidden="false" customHeight="false" outlineLevel="0" collapsed="false">
      <c r="A8" s="1"/>
      <c r="B8" s="53" t="s">
        <v>434</v>
      </c>
      <c r="C8" s="12" t="n">
        <v>60</v>
      </c>
      <c r="D8" s="1"/>
      <c r="E8" s="1"/>
      <c r="F8" s="22" t="s">
        <v>435</v>
      </c>
    </row>
    <row r="9" customFormat="false" ht="15" hidden="false" customHeight="false" outlineLevel="0" collapsed="false">
      <c r="A9" s="1"/>
      <c r="B9" s="53" t="s">
        <v>436</v>
      </c>
      <c r="C9" s="12" t="n">
        <v>40</v>
      </c>
      <c r="D9" s="1"/>
      <c r="E9" s="1"/>
      <c r="F9" s="22" t="s">
        <v>437</v>
      </c>
    </row>
    <row r="10" customFormat="false" ht="15" hidden="false" customHeight="false" outlineLevel="0" collapsed="false">
      <c r="A10" s="1"/>
      <c r="B10" s="53" t="s">
        <v>438</v>
      </c>
      <c r="C10" s="12" t="n">
        <v>60</v>
      </c>
      <c r="D10" s="1"/>
      <c r="E10" s="1"/>
      <c r="F10" s="22" t="s">
        <v>439</v>
      </c>
    </row>
    <row r="11" customFormat="false" ht="15" hidden="false" customHeight="false" outlineLevel="0" collapsed="false">
      <c r="A11" s="1"/>
      <c r="B11" s="53" t="s">
        <v>440</v>
      </c>
      <c r="C11" s="12" t="n">
        <v>10</v>
      </c>
      <c r="D11" s="1"/>
      <c r="E11" s="1"/>
      <c r="F11" s="22" t="s">
        <v>441</v>
      </c>
    </row>
    <row r="12" customFormat="false" ht="15" hidden="false" customHeight="false" outlineLevel="0" collapsed="false">
      <c r="A12" s="1"/>
      <c r="B12" s="1"/>
      <c r="C12" s="1"/>
      <c r="D12" s="1"/>
      <c r="E12" s="1"/>
      <c r="F12" s="1"/>
    </row>
    <row r="13" customFormat="false" ht="15" hidden="false" customHeight="false" outlineLevel="0" collapsed="false">
      <c r="A13" s="1"/>
      <c r="B13" s="1"/>
      <c r="C13" s="1"/>
      <c r="D13" s="1"/>
      <c r="E13" s="1"/>
      <c r="F13" s="1"/>
    </row>
    <row r="14" customFormat="false" ht="15" hidden="false" customHeight="false" outlineLevel="0" collapsed="false">
      <c r="A14" s="1"/>
      <c r="B14" s="15" t="s">
        <v>442</v>
      </c>
      <c r="C14" s="1"/>
      <c r="D14" s="1"/>
      <c r="E14" s="1"/>
      <c r="F14" s="1"/>
    </row>
    <row r="15" customFormat="false" ht="15" hidden="false" customHeight="false" outlineLevel="0" collapsed="false">
      <c r="A15" s="1"/>
      <c r="B15" s="8" t="s">
        <v>228</v>
      </c>
      <c r="C15" s="8" t="s">
        <v>443</v>
      </c>
      <c r="D15" s="1"/>
      <c r="E15" s="1"/>
      <c r="F15" s="8" t="s">
        <v>444</v>
      </c>
    </row>
    <row r="16" customFormat="false" ht="15" hidden="false" customHeight="false" outlineLevel="0" collapsed="false">
      <c r="A16" s="1"/>
      <c r="B16" s="53" t="s">
        <v>234</v>
      </c>
      <c r="C16" s="12" t="n">
        <v>0</v>
      </c>
      <c r="D16" s="1"/>
      <c r="E16" s="1"/>
      <c r="F16" s="53" t="s">
        <v>445</v>
      </c>
    </row>
    <row r="17" customFormat="false" ht="15" hidden="false" customHeight="false" outlineLevel="0" collapsed="false">
      <c r="A17" s="1"/>
      <c r="B17" s="53" t="s">
        <v>239</v>
      </c>
      <c r="C17" s="12" t="n">
        <v>40</v>
      </c>
      <c r="D17" s="1"/>
      <c r="E17" s="1"/>
      <c r="F17" s="59"/>
    </row>
    <row r="18" customFormat="false" ht="15" hidden="false" customHeight="false" outlineLevel="0" collapsed="false">
      <c r="A18" s="1"/>
      <c r="B18" s="53" t="s">
        <v>244</v>
      </c>
      <c r="C18" s="12" t="n">
        <v>60</v>
      </c>
      <c r="D18" s="1"/>
      <c r="E18" s="1"/>
      <c r="F18" s="59"/>
    </row>
    <row r="19" customFormat="false" ht="15" hidden="false" customHeight="false" outlineLevel="0" collapsed="false">
      <c r="A19" s="1"/>
      <c r="B19" s="53" t="s">
        <v>249</v>
      </c>
      <c r="C19" s="12" t="n">
        <v>80</v>
      </c>
      <c r="D19" s="1"/>
      <c r="E19" s="1"/>
      <c r="F19" s="59"/>
    </row>
    <row r="20" customFormat="false" ht="15" hidden="false" customHeight="false" outlineLevel="0" collapsed="false">
      <c r="A20" s="1"/>
      <c r="B20" s="1"/>
      <c r="C20" s="1"/>
      <c r="D20" s="1"/>
      <c r="E20" s="1"/>
      <c r="F20" s="1"/>
    </row>
    <row r="21" customFormat="false" ht="15" hidden="false" customHeight="false" outlineLevel="0" collapsed="false">
      <c r="A21" s="1"/>
      <c r="B21" s="1"/>
      <c r="C21" s="1"/>
      <c r="D21" s="1"/>
      <c r="E21" s="1"/>
      <c r="F21" s="1"/>
    </row>
    <row r="22" customFormat="false" ht="15" hidden="false" customHeight="false" outlineLevel="0" collapsed="false">
      <c r="A22" s="1"/>
      <c r="B22" s="15" t="s">
        <v>446</v>
      </c>
      <c r="C22" s="1"/>
      <c r="D22" s="1"/>
      <c r="E22" s="1"/>
      <c r="F22" s="1"/>
    </row>
    <row r="23" customFormat="false" ht="27.75" hidden="false" customHeight="true" outlineLevel="0" collapsed="false">
      <c r="A23" s="1"/>
      <c r="B23" s="24" t="s">
        <v>447</v>
      </c>
      <c r="C23" s="24"/>
      <c r="D23" s="24"/>
      <c r="E23" s="24"/>
      <c r="F23" s="24"/>
    </row>
    <row r="24" customFormat="false" ht="27.75" hidden="false" customHeight="true" outlineLevel="0" collapsed="false">
      <c r="A24" s="1"/>
      <c r="B24" s="24" t="s">
        <v>448</v>
      </c>
      <c r="C24" s="24"/>
      <c r="D24" s="24"/>
      <c r="E24" s="24"/>
      <c r="F24" s="24"/>
    </row>
    <row r="25" customFormat="false" ht="27.75" hidden="false" customHeight="true" outlineLevel="0" collapsed="false">
      <c r="A25" s="1"/>
      <c r="B25" s="24" t="s">
        <v>449</v>
      </c>
      <c r="C25" s="24"/>
      <c r="D25" s="24"/>
      <c r="E25" s="24"/>
      <c r="F25" s="24"/>
    </row>
    <row r="26" customFormat="false" ht="27.75" hidden="false" customHeight="true" outlineLevel="0" collapsed="false">
      <c r="A26" s="1"/>
      <c r="B26" s="24" t="s">
        <v>450</v>
      </c>
      <c r="C26" s="24"/>
      <c r="D26" s="24"/>
      <c r="E26" s="24"/>
      <c r="F26" s="24"/>
    </row>
    <row r="27" customFormat="false" ht="27.75" hidden="false" customHeight="true" outlineLevel="0" collapsed="false">
      <c r="A27" s="1"/>
      <c r="B27" s="24" t="s">
        <v>451</v>
      </c>
      <c r="C27" s="24"/>
      <c r="D27" s="24"/>
      <c r="E27" s="24"/>
      <c r="F27" s="24"/>
    </row>
    <row r="28" customFormat="false" ht="27.75" hidden="false" customHeight="true" outlineLevel="0" collapsed="false">
      <c r="A28" s="1"/>
      <c r="B28" s="24" t="s">
        <v>452</v>
      </c>
      <c r="C28" s="24"/>
      <c r="D28" s="24"/>
      <c r="E28" s="24"/>
      <c r="F28" s="24"/>
    </row>
    <row r="29" customFormat="false" ht="27.75" hidden="false" customHeight="true" outlineLevel="0" collapsed="false">
      <c r="A29" s="1"/>
      <c r="B29" s="24" t="s">
        <v>453</v>
      </c>
      <c r="C29" s="24"/>
      <c r="D29" s="24"/>
      <c r="E29" s="24"/>
      <c r="F29" s="24"/>
    </row>
    <row r="30" customFormat="false" ht="27.75" hidden="false" customHeight="true" outlineLevel="0" collapsed="false">
      <c r="A30" s="1"/>
      <c r="B30" s="24" t="s">
        <v>454</v>
      </c>
      <c r="C30" s="24"/>
      <c r="D30" s="24"/>
      <c r="E30" s="24"/>
      <c r="F30" s="24"/>
    </row>
    <row r="31" customFormat="false" ht="15" hidden="false" customHeight="false" outlineLevel="0" collapsed="false">
      <c r="A31" s="1"/>
      <c r="B31" s="1"/>
      <c r="C31" s="1"/>
      <c r="D31" s="1"/>
      <c r="E31" s="1"/>
      <c r="F31" s="1"/>
    </row>
    <row r="32" customFormat="false" ht="15" hidden="false" customHeight="false" outlineLevel="0" collapsed="false">
      <c r="A32" s="1"/>
      <c r="B32" s="1"/>
      <c r="C32" s="1"/>
      <c r="D32" s="1"/>
      <c r="E32" s="1"/>
      <c r="F32" s="1"/>
    </row>
    <row r="33" customFormat="false" ht="15" hidden="false" customHeight="false" outlineLevel="0" collapsed="false">
      <c r="A33" s="1"/>
      <c r="B33" s="15" t="s">
        <v>455</v>
      </c>
      <c r="C33" s="1"/>
      <c r="D33" s="1"/>
      <c r="E33" s="1"/>
      <c r="F33" s="1"/>
    </row>
    <row r="34" customFormat="false" ht="15" hidden="false" customHeight="false" outlineLevel="0" collapsed="false">
      <c r="A34" s="1"/>
      <c r="B34" s="8" t="s">
        <v>456</v>
      </c>
      <c r="C34" s="8" t="s">
        <v>149</v>
      </c>
      <c r="D34" s="8" t="s">
        <v>457</v>
      </c>
      <c r="E34" s="8" t="s">
        <v>458</v>
      </c>
      <c r="F34" s="8" t="s">
        <v>27</v>
      </c>
    </row>
    <row r="35" customFormat="false" ht="23.85" hidden="false" customHeight="false" outlineLevel="0" collapsed="false">
      <c r="A35" s="1"/>
      <c r="B35" s="22" t="s">
        <v>459</v>
      </c>
      <c r="C35" s="22" t="s">
        <v>460</v>
      </c>
      <c r="D35" s="22" t="s">
        <v>461</v>
      </c>
      <c r="E35" s="60" t="s">
        <v>462</v>
      </c>
      <c r="F35" s="22" t="s">
        <v>463</v>
      </c>
    </row>
    <row r="36" customFormat="false" ht="23.85" hidden="false" customHeight="false" outlineLevel="0" collapsed="false">
      <c r="A36" s="1"/>
      <c r="B36" s="22" t="s">
        <v>92</v>
      </c>
      <c r="C36" s="22" t="s">
        <v>151</v>
      </c>
      <c r="D36" s="22" t="s">
        <v>464</v>
      </c>
      <c r="E36" s="60" t="n">
        <v>0.78</v>
      </c>
      <c r="F36" s="22" t="s">
        <v>465</v>
      </c>
    </row>
    <row r="37" customFormat="false" ht="23.85" hidden="false" customHeight="false" outlineLevel="0" collapsed="false">
      <c r="A37" s="1"/>
      <c r="B37" s="22" t="s">
        <v>95</v>
      </c>
      <c r="C37" s="22" t="s">
        <v>151</v>
      </c>
      <c r="D37" s="22" t="s">
        <v>464</v>
      </c>
      <c r="E37" s="60" t="n">
        <v>0.85</v>
      </c>
      <c r="F37" s="22" t="s">
        <v>465</v>
      </c>
    </row>
    <row r="38" customFormat="false" ht="23.85" hidden="false" customHeight="false" outlineLevel="0" collapsed="false">
      <c r="A38" s="1"/>
      <c r="B38" s="22" t="s">
        <v>97</v>
      </c>
      <c r="C38" s="22" t="s">
        <v>151</v>
      </c>
      <c r="D38" s="22" t="s">
        <v>464</v>
      </c>
      <c r="E38" s="60" t="n">
        <v>0.82</v>
      </c>
      <c r="F38" s="22" t="s">
        <v>465</v>
      </c>
    </row>
    <row r="39" customFormat="false" ht="23.85" hidden="false" customHeight="false" outlineLevel="0" collapsed="false">
      <c r="A39" s="1"/>
      <c r="B39" s="22" t="s">
        <v>39</v>
      </c>
      <c r="C39" s="22" t="s">
        <v>151</v>
      </c>
      <c r="D39" s="22" t="s">
        <v>464</v>
      </c>
      <c r="E39" s="60" t="n">
        <v>0.86</v>
      </c>
      <c r="F39" s="22" t="s">
        <v>465</v>
      </c>
    </row>
    <row r="40" customFormat="false" ht="23.85" hidden="false" customHeight="false" outlineLevel="0" collapsed="false">
      <c r="A40" s="1"/>
      <c r="B40" s="22" t="s">
        <v>100</v>
      </c>
      <c r="C40" s="22" t="s">
        <v>152</v>
      </c>
      <c r="D40" s="22" t="s">
        <v>464</v>
      </c>
      <c r="E40" s="60" t="n">
        <v>0.83</v>
      </c>
      <c r="F40" s="22" t="s">
        <v>465</v>
      </c>
    </row>
    <row r="41" customFormat="false" ht="23.85" hidden="false" customHeight="false" outlineLevel="0" collapsed="false">
      <c r="A41" s="1"/>
      <c r="B41" s="22" t="s">
        <v>102</v>
      </c>
      <c r="C41" s="22" t="s">
        <v>152</v>
      </c>
      <c r="D41" s="22" t="s">
        <v>464</v>
      </c>
      <c r="E41" s="60" t="n">
        <v>0.8</v>
      </c>
      <c r="F41" s="22" t="s">
        <v>465</v>
      </c>
    </row>
    <row r="42" customFormat="false" ht="23.85" hidden="false" customHeight="false" outlineLevel="0" collapsed="false">
      <c r="A42" s="1"/>
      <c r="B42" s="22" t="s">
        <v>104</v>
      </c>
      <c r="C42" s="22" t="s">
        <v>153</v>
      </c>
      <c r="D42" s="22" t="s">
        <v>464</v>
      </c>
      <c r="E42" s="60" t="n">
        <v>0.84</v>
      </c>
      <c r="F42" s="22" t="s">
        <v>465</v>
      </c>
    </row>
    <row r="43" customFormat="false" ht="23.85" hidden="false" customHeight="false" outlineLevel="0" collapsed="false">
      <c r="A43" s="1"/>
      <c r="B43" s="22" t="s">
        <v>106</v>
      </c>
      <c r="C43" s="22" t="s">
        <v>154</v>
      </c>
      <c r="D43" s="22" t="s">
        <v>464</v>
      </c>
      <c r="E43" s="60" t="n">
        <v>0.71</v>
      </c>
      <c r="F43" s="22" t="s">
        <v>465</v>
      </c>
    </row>
    <row r="44" customFormat="false" ht="23.85" hidden="false" customHeight="false" outlineLevel="0" collapsed="false">
      <c r="A44" s="1"/>
      <c r="B44" s="22" t="s">
        <v>108</v>
      </c>
      <c r="C44" s="22" t="s">
        <v>154</v>
      </c>
      <c r="D44" s="22" t="s">
        <v>464</v>
      </c>
      <c r="E44" s="60" t="n">
        <v>0.73</v>
      </c>
      <c r="F44" s="22" t="s">
        <v>465</v>
      </c>
    </row>
    <row r="45" customFormat="false" ht="23.85" hidden="false" customHeight="false" outlineLevel="0" collapsed="false">
      <c r="A45" s="1"/>
      <c r="B45" s="22" t="s">
        <v>110</v>
      </c>
      <c r="C45" s="22" t="s">
        <v>155</v>
      </c>
      <c r="D45" s="22" t="s">
        <v>464</v>
      </c>
      <c r="E45" s="60" t="n">
        <v>0.77</v>
      </c>
      <c r="F45" s="22" t="s">
        <v>465</v>
      </c>
    </row>
    <row r="46" customFormat="false" ht="15" hidden="false" customHeight="false" outlineLevel="0" collapsed="false">
      <c r="A46" s="1"/>
      <c r="B46" s="1"/>
      <c r="C46" s="1"/>
      <c r="D46" s="1"/>
      <c r="E46" s="1"/>
      <c r="F46" s="1"/>
    </row>
    <row r="47" customFormat="false" ht="15" hidden="false" customHeight="false" outlineLevel="0" collapsed="false">
      <c r="A47" s="1"/>
      <c r="B47" s="1"/>
      <c r="C47" s="1"/>
      <c r="D47" s="1"/>
      <c r="E47" s="1"/>
      <c r="F47" s="1"/>
    </row>
    <row r="48" customFormat="false" ht="15" hidden="false" customHeight="false" outlineLevel="0" collapsed="false">
      <c r="A48" s="1"/>
      <c r="B48" s="15" t="s">
        <v>466</v>
      </c>
      <c r="C48" s="1"/>
      <c r="D48" s="1"/>
      <c r="E48" s="1"/>
      <c r="F48" s="1"/>
    </row>
    <row r="49" customFormat="false" ht="30" hidden="false" customHeight="true" outlineLevel="0" collapsed="false">
      <c r="A49" s="1"/>
      <c r="B49" s="24" t="s">
        <v>467</v>
      </c>
      <c r="C49" s="24"/>
      <c r="D49" s="24"/>
      <c r="E49" s="24"/>
      <c r="F49" s="24"/>
    </row>
    <row r="50" customFormat="false" ht="30" hidden="false" customHeight="true" outlineLevel="0" collapsed="false">
      <c r="A50" s="1"/>
      <c r="B50" s="24" t="s">
        <v>468</v>
      </c>
      <c r="C50" s="24"/>
      <c r="D50" s="24"/>
      <c r="E50" s="24"/>
      <c r="F50" s="24"/>
    </row>
    <row r="51" customFormat="false" ht="30" hidden="false" customHeight="true" outlineLevel="0" collapsed="false">
      <c r="A51" s="1"/>
      <c r="B51" s="24" t="s">
        <v>469</v>
      </c>
      <c r="C51" s="24"/>
      <c r="D51" s="24"/>
      <c r="E51" s="24"/>
      <c r="F51" s="24"/>
    </row>
    <row r="52" customFormat="false" ht="30" hidden="false" customHeight="true" outlineLevel="0" collapsed="false">
      <c r="A52" s="1"/>
      <c r="B52" s="24" t="s">
        <v>470</v>
      </c>
      <c r="C52" s="24"/>
      <c r="D52" s="24"/>
      <c r="E52" s="24"/>
      <c r="F52" s="24"/>
    </row>
    <row r="53" customFormat="false" ht="30" hidden="false" customHeight="true" outlineLevel="0" collapsed="false">
      <c r="A53" s="1"/>
      <c r="B53" s="24" t="s">
        <v>471</v>
      </c>
      <c r="C53" s="24"/>
      <c r="D53" s="24"/>
      <c r="E53" s="24"/>
      <c r="F53" s="24"/>
    </row>
  </sheetData>
  <mergeCells count="13">
    <mergeCell ref="B23:F23"/>
    <mergeCell ref="B24:F24"/>
    <mergeCell ref="B25:F25"/>
    <mergeCell ref="B26:F26"/>
    <mergeCell ref="B27:F27"/>
    <mergeCell ref="B28:F28"/>
    <mergeCell ref="B29:F29"/>
    <mergeCell ref="B30:F30"/>
    <mergeCell ref="B49:F49"/>
    <mergeCell ref="B50:F50"/>
    <mergeCell ref="B51:F51"/>
    <mergeCell ref="B52:F52"/>
    <mergeCell ref="B53:F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C8C"/>
    <pageSetUpPr fitToPage="false"/>
  </sheetPr>
  <dimension ref="A1:K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4" min="3" style="0" width="22"/>
    <col collapsed="false" customWidth="true" hidden="false" outlineLevel="0" max="5" min="5" style="0" width="60"/>
    <col collapsed="false" customWidth="true" hidden="false" outlineLevel="0" max="7" min="6" style="0" width="45"/>
    <col collapsed="false" customWidth="true" hidden="false" outlineLevel="0" max="8" min="8" style="0" width="60"/>
    <col collapsed="false" customWidth="true" hidden="false" outlineLevel="0" max="9" min="9" style="0" width="30"/>
    <col collapsed="false" customWidth="true" hidden="false" outlineLevel="0" max="10" min="10" style="0" width="32"/>
    <col collapsed="false" customWidth="true" hidden="false" outlineLevel="0" max="11" min="11" style="0" width="22"/>
  </cols>
  <sheetData>
    <row r="1" customFormat="false" ht="15" hidden="false" customHeight="false" outlineLevel="0" collapsed="false">
      <c r="A1" s="1"/>
      <c r="B1" s="1"/>
      <c r="C1" s="1"/>
      <c r="D1" s="1"/>
      <c r="E1" s="1"/>
      <c r="F1" s="1"/>
      <c r="G1" s="1"/>
      <c r="H1" s="1"/>
      <c r="I1" s="1"/>
      <c r="J1" s="1"/>
      <c r="K1" s="1"/>
    </row>
    <row r="2" customFormat="false" ht="22.05" hidden="false" customHeight="false" outlineLevel="0" collapsed="false">
      <c r="A2" s="1"/>
      <c r="B2" s="2" t="s">
        <v>472</v>
      </c>
      <c r="C2" s="1"/>
      <c r="D2" s="1"/>
      <c r="E2" s="1"/>
      <c r="F2" s="1"/>
      <c r="G2" s="1"/>
      <c r="H2" s="1"/>
      <c r="I2" s="1"/>
      <c r="J2" s="1"/>
      <c r="K2" s="1"/>
    </row>
    <row r="3" customFormat="false" ht="15" hidden="false" customHeight="false" outlineLevel="0" collapsed="false">
      <c r="A3" s="1"/>
      <c r="B3" s="5" t="s">
        <v>473</v>
      </c>
      <c r="C3" s="1"/>
      <c r="D3" s="1"/>
      <c r="E3" s="1"/>
      <c r="F3" s="1"/>
      <c r="G3" s="1"/>
      <c r="H3" s="1"/>
      <c r="I3" s="1"/>
      <c r="J3" s="1"/>
      <c r="K3" s="1"/>
    </row>
    <row r="4" customFormat="false" ht="15" hidden="false" customHeight="false" outlineLevel="0" collapsed="false">
      <c r="A4" s="1"/>
      <c r="B4" s="1"/>
      <c r="C4" s="1"/>
      <c r="D4" s="1"/>
      <c r="E4" s="1"/>
      <c r="F4" s="1"/>
      <c r="G4" s="1"/>
      <c r="H4" s="1"/>
      <c r="I4" s="1"/>
      <c r="J4" s="1"/>
      <c r="K4" s="1"/>
    </row>
    <row r="5" customFormat="false" ht="15" hidden="false" customHeight="false" outlineLevel="0" collapsed="false">
      <c r="A5" s="1"/>
      <c r="B5" s="15" t="s">
        <v>474</v>
      </c>
      <c r="C5" s="1"/>
      <c r="D5" s="1"/>
      <c r="E5" s="1"/>
      <c r="F5" s="1"/>
      <c r="G5" s="1"/>
      <c r="H5" s="1"/>
      <c r="I5" s="1"/>
      <c r="J5" s="1"/>
      <c r="K5" s="1"/>
    </row>
    <row r="6" customFormat="false" ht="15" hidden="false" customHeight="false" outlineLevel="0" collapsed="false">
      <c r="A6" s="1"/>
      <c r="B6" s="8" t="s">
        <v>25</v>
      </c>
      <c r="C6" s="8" t="s">
        <v>24</v>
      </c>
      <c r="D6" s="8" t="s">
        <v>61</v>
      </c>
      <c r="E6" s="8" t="s">
        <v>475</v>
      </c>
      <c r="F6" s="1"/>
      <c r="G6" s="1"/>
      <c r="H6" s="1"/>
      <c r="I6" s="1"/>
      <c r="J6" s="1"/>
      <c r="K6" s="1"/>
    </row>
    <row r="7" customFormat="false" ht="30" hidden="false" customHeight="true" outlineLevel="0" collapsed="false">
      <c r="A7" s="1"/>
      <c r="B7" s="22" t="s">
        <v>476</v>
      </c>
      <c r="C7" s="22" t="s">
        <v>68</v>
      </c>
      <c r="D7" s="22" t="s">
        <v>349</v>
      </c>
      <c r="E7" s="22" t="s">
        <v>401</v>
      </c>
      <c r="F7" s="1"/>
      <c r="G7" s="1"/>
      <c r="H7" s="1"/>
      <c r="I7" s="1"/>
      <c r="J7" s="1"/>
      <c r="K7" s="1"/>
    </row>
    <row r="8" customFormat="false" ht="30" hidden="false" customHeight="true" outlineLevel="0" collapsed="false">
      <c r="A8" s="1"/>
      <c r="B8" s="22" t="s">
        <v>477</v>
      </c>
      <c r="C8" s="22" t="s">
        <v>68</v>
      </c>
      <c r="D8" s="22" t="s">
        <v>355</v>
      </c>
      <c r="E8" s="22" t="s">
        <v>406</v>
      </c>
      <c r="F8" s="1"/>
      <c r="G8" s="1"/>
      <c r="H8" s="1"/>
      <c r="I8" s="1"/>
      <c r="J8" s="1"/>
      <c r="K8" s="1"/>
    </row>
    <row r="9" customFormat="false" ht="30" hidden="false" customHeight="true" outlineLevel="0" collapsed="false">
      <c r="A9" s="1"/>
      <c r="B9" s="22" t="s">
        <v>478</v>
      </c>
      <c r="C9" s="22" t="s">
        <v>68</v>
      </c>
      <c r="D9" s="22" t="s">
        <v>361</v>
      </c>
      <c r="E9" s="22" t="s">
        <v>411</v>
      </c>
      <c r="F9" s="1"/>
      <c r="G9" s="1"/>
      <c r="H9" s="1"/>
      <c r="I9" s="1"/>
      <c r="J9" s="1"/>
      <c r="K9" s="1"/>
    </row>
    <row r="10" customFormat="false" ht="30" hidden="false" customHeight="true" outlineLevel="0" collapsed="false">
      <c r="A10" s="1"/>
      <c r="B10" s="22" t="s">
        <v>479</v>
      </c>
      <c r="C10" s="22" t="s">
        <v>69</v>
      </c>
      <c r="D10" s="22" t="s">
        <v>349</v>
      </c>
      <c r="E10" s="22" t="s">
        <v>416</v>
      </c>
      <c r="F10" s="1"/>
      <c r="G10" s="1"/>
      <c r="H10" s="1"/>
      <c r="I10" s="1"/>
      <c r="J10" s="1"/>
      <c r="K10" s="1"/>
    </row>
    <row r="11" customFormat="false" ht="30" hidden="false" customHeight="true" outlineLevel="0" collapsed="false">
      <c r="A11" s="1"/>
      <c r="B11" s="22" t="s">
        <v>480</v>
      </c>
      <c r="C11" s="22" t="s">
        <v>69</v>
      </c>
      <c r="D11" s="22" t="s">
        <v>355</v>
      </c>
      <c r="E11" s="22" t="s">
        <v>421</v>
      </c>
      <c r="F11" s="1"/>
      <c r="G11" s="1"/>
      <c r="H11" s="1"/>
      <c r="I11" s="1"/>
      <c r="J11" s="1"/>
      <c r="K11" s="1"/>
    </row>
    <row r="12" customFormat="false" ht="30" hidden="false" customHeight="true" outlineLevel="0" collapsed="false">
      <c r="A12" s="1"/>
      <c r="B12" s="22" t="s">
        <v>481</v>
      </c>
      <c r="C12" s="22" t="s">
        <v>69</v>
      </c>
      <c r="D12" s="22" t="s">
        <v>361</v>
      </c>
      <c r="E12" s="22" t="s">
        <v>426</v>
      </c>
      <c r="F12" s="1"/>
      <c r="G12" s="1"/>
      <c r="H12" s="1"/>
      <c r="I12" s="1"/>
      <c r="J12" s="1"/>
      <c r="K12" s="1"/>
    </row>
    <row r="13" customFormat="false" ht="30" hidden="false" customHeight="true" outlineLevel="0" collapsed="false">
      <c r="A13" s="1"/>
      <c r="B13" s="22" t="s">
        <v>482</v>
      </c>
      <c r="C13" s="22" t="s">
        <v>70</v>
      </c>
      <c r="D13" s="22" t="s">
        <v>349</v>
      </c>
      <c r="E13" s="22" t="s">
        <v>354</v>
      </c>
      <c r="F13" s="1"/>
      <c r="G13" s="1"/>
      <c r="H13" s="1"/>
      <c r="I13" s="1"/>
      <c r="J13" s="1"/>
      <c r="K13" s="1"/>
    </row>
    <row r="14" customFormat="false" ht="30" hidden="false" customHeight="true" outlineLevel="0" collapsed="false">
      <c r="A14" s="1"/>
      <c r="B14" s="22" t="s">
        <v>483</v>
      </c>
      <c r="C14" s="22" t="s">
        <v>70</v>
      </c>
      <c r="D14" s="22" t="s">
        <v>355</v>
      </c>
      <c r="E14" s="22" t="s">
        <v>360</v>
      </c>
      <c r="F14" s="1"/>
      <c r="G14" s="1"/>
      <c r="H14" s="1"/>
      <c r="I14" s="1"/>
      <c r="J14" s="1"/>
      <c r="K14" s="1"/>
    </row>
    <row r="15" customFormat="false" ht="30" hidden="false" customHeight="true" outlineLevel="0" collapsed="false">
      <c r="A15" s="1"/>
      <c r="B15" s="22" t="s">
        <v>484</v>
      </c>
      <c r="C15" s="22" t="s">
        <v>70</v>
      </c>
      <c r="D15" s="22" t="s">
        <v>361</v>
      </c>
      <c r="E15" s="22" t="s">
        <v>366</v>
      </c>
      <c r="F15" s="1"/>
      <c r="G15" s="1"/>
      <c r="H15" s="1"/>
      <c r="I15" s="1"/>
      <c r="J15" s="1"/>
      <c r="K15" s="1"/>
    </row>
    <row r="16" customFormat="false" ht="30" hidden="false" customHeight="true" outlineLevel="0" collapsed="false">
      <c r="A16" s="1"/>
      <c r="B16" s="22" t="s">
        <v>485</v>
      </c>
      <c r="C16" s="22" t="s">
        <v>71</v>
      </c>
      <c r="D16" s="22" t="s">
        <v>349</v>
      </c>
      <c r="E16" s="22" t="s">
        <v>371</v>
      </c>
      <c r="F16" s="1"/>
      <c r="G16" s="1"/>
      <c r="H16" s="1"/>
      <c r="I16" s="1"/>
      <c r="J16" s="1"/>
      <c r="K16" s="1"/>
    </row>
    <row r="17" customFormat="false" ht="30" hidden="false" customHeight="true" outlineLevel="0" collapsed="false">
      <c r="A17" s="1"/>
      <c r="B17" s="22" t="s">
        <v>486</v>
      </c>
      <c r="C17" s="22" t="s">
        <v>71</v>
      </c>
      <c r="D17" s="22" t="s">
        <v>355</v>
      </c>
      <c r="E17" s="22" t="s">
        <v>376</v>
      </c>
      <c r="F17" s="1"/>
      <c r="G17" s="1"/>
      <c r="H17" s="1"/>
      <c r="I17" s="1"/>
      <c r="J17" s="1"/>
      <c r="K17" s="1"/>
    </row>
    <row r="18" customFormat="false" ht="30" hidden="false" customHeight="true" outlineLevel="0" collapsed="false">
      <c r="A18" s="1"/>
      <c r="B18" s="22" t="s">
        <v>487</v>
      </c>
      <c r="C18" s="22" t="s">
        <v>71</v>
      </c>
      <c r="D18" s="22" t="s">
        <v>361</v>
      </c>
      <c r="E18" s="22" t="s">
        <v>381</v>
      </c>
      <c r="F18" s="1"/>
      <c r="G18" s="1"/>
      <c r="H18" s="1"/>
      <c r="I18" s="1"/>
      <c r="J18" s="1"/>
      <c r="K18" s="1"/>
    </row>
    <row r="19" customFormat="false" ht="30" hidden="false" customHeight="true" outlineLevel="0" collapsed="false">
      <c r="A19" s="1"/>
      <c r="B19" s="22" t="s">
        <v>488</v>
      </c>
      <c r="C19" s="22" t="s">
        <v>72</v>
      </c>
      <c r="D19" s="22" t="s">
        <v>349</v>
      </c>
      <c r="E19" s="22" t="s">
        <v>386</v>
      </c>
      <c r="F19" s="1"/>
      <c r="G19" s="1"/>
      <c r="H19" s="1"/>
      <c r="I19" s="1"/>
      <c r="J19" s="1"/>
      <c r="K19" s="1"/>
    </row>
    <row r="20" customFormat="false" ht="30" hidden="false" customHeight="true" outlineLevel="0" collapsed="false">
      <c r="A20" s="1"/>
      <c r="B20" s="22" t="s">
        <v>489</v>
      </c>
      <c r="C20" s="22" t="s">
        <v>72</v>
      </c>
      <c r="D20" s="22" t="s">
        <v>355</v>
      </c>
      <c r="E20" s="22" t="s">
        <v>391</v>
      </c>
      <c r="F20" s="1"/>
      <c r="G20" s="1"/>
      <c r="H20" s="1"/>
      <c r="I20" s="1"/>
      <c r="J20" s="1"/>
      <c r="K20" s="1"/>
    </row>
    <row r="21" customFormat="false" ht="30" hidden="false" customHeight="true" outlineLevel="0" collapsed="false">
      <c r="A21" s="1"/>
      <c r="B21" s="22" t="s">
        <v>490</v>
      </c>
      <c r="C21" s="22" t="s">
        <v>72</v>
      </c>
      <c r="D21" s="22" t="s">
        <v>361</v>
      </c>
      <c r="E21" s="22" t="s">
        <v>396</v>
      </c>
      <c r="F21" s="1"/>
      <c r="G21" s="1"/>
      <c r="H21" s="1"/>
      <c r="I21" s="1"/>
      <c r="J21" s="1"/>
      <c r="K21" s="1"/>
    </row>
    <row r="22" customFormat="false" ht="15" hidden="false" customHeight="false" outlineLevel="0" collapsed="false">
      <c r="A22" s="1"/>
      <c r="B22" s="1"/>
      <c r="C22" s="1"/>
      <c r="D22" s="1"/>
      <c r="E22" s="1"/>
      <c r="F22" s="1"/>
      <c r="G22" s="1"/>
      <c r="H22" s="1"/>
      <c r="I22" s="1"/>
      <c r="J22" s="1"/>
      <c r="K22" s="1"/>
    </row>
    <row r="23" customFormat="false" ht="15" hidden="false" customHeight="false" outlineLevel="0" collapsed="false">
      <c r="A23" s="1"/>
      <c r="B23" s="15" t="s">
        <v>491</v>
      </c>
      <c r="C23" s="1"/>
      <c r="D23" s="1"/>
      <c r="E23" s="1"/>
      <c r="F23" s="1"/>
      <c r="G23" s="1"/>
      <c r="H23" s="1"/>
      <c r="I23" s="1"/>
      <c r="J23" s="1"/>
      <c r="K23" s="1"/>
    </row>
    <row r="24" customFormat="false" ht="15" hidden="false" customHeight="false" outlineLevel="0" collapsed="false">
      <c r="A24" s="1"/>
      <c r="B24" s="8" t="s">
        <v>228</v>
      </c>
      <c r="C24" s="1"/>
      <c r="D24" s="1"/>
      <c r="E24" s="8" t="s">
        <v>475</v>
      </c>
      <c r="F24" s="1"/>
      <c r="G24" s="1"/>
      <c r="H24" s="1"/>
      <c r="I24" s="1"/>
      <c r="J24" s="1"/>
      <c r="K24" s="1"/>
    </row>
    <row r="25" customFormat="false" ht="30" hidden="false" customHeight="true" outlineLevel="0" collapsed="false">
      <c r="A25" s="1"/>
      <c r="B25" s="22" t="s">
        <v>234</v>
      </c>
      <c r="C25" s="1"/>
      <c r="D25" s="1"/>
      <c r="E25" s="22" t="s">
        <v>492</v>
      </c>
      <c r="F25" s="1"/>
      <c r="G25" s="1"/>
      <c r="H25" s="1"/>
      <c r="I25" s="1"/>
      <c r="J25" s="1"/>
      <c r="K25" s="1"/>
    </row>
    <row r="26" customFormat="false" ht="30" hidden="false" customHeight="true" outlineLevel="0" collapsed="false">
      <c r="A26" s="1"/>
      <c r="B26" s="22" t="s">
        <v>239</v>
      </c>
      <c r="C26" s="1"/>
      <c r="D26" s="1"/>
      <c r="E26" s="22" t="s">
        <v>493</v>
      </c>
      <c r="F26" s="1"/>
      <c r="G26" s="1"/>
      <c r="H26" s="1"/>
      <c r="I26" s="1"/>
      <c r="J26" s="1"/>
      <c r="K26" s="1"/>
    </row>
    <row r="27" customFormat="false" ht="30" hidden="false" customHeight="true" outlineLevel="0" collapsed="false">
      <c r="A27" s="1"/>
      <c r="B27" s="22" t="s">
        <v>244</v>
      </c>
      <c r="C27" s="1"/>
      <c r="D27" s="1"/>
      <c r="E27" s="22" t="s">
        <v>494</v>
      </c>
      <c r="F27" s="1"/>
      <c r="G27" s="1"/>
      <c r="H27" s="1"/>
      <c r="I27" s="1"/>
      <c r="J27" s="1"/>
      <c r="K27" s="1"/>
    </row>
    <row r="28" customFormat="false" ht="30" hidden="false" customHeight="true" outlineLevel="0" collapsed="false">
      <c r="A28" s="1"/>
      <c r="B28" s="22" t="s">
        <v>249</v>
      </c>
      <c r="C28" s="1"/>
      <c r="D28" s="1"/>
      <c r="E28" s="22" t="s">
        <v>495</v>
      </c>
      <c r="F28" s="1"/>
      <c r="G28" s="1"/>
      <c r="H28" s="1"/>
      <c r="I28" s="1"/>
      <c r="J28" s="1"/>
      <c r="K28" s="1"/>
    </row>
    <row r="29" customFormat="false" ht="15" hidden="false" customHeight="false" outlineLevel="0" collapsed="false">
      <c r="A29" s="1"/>
      <c r="B29" s="1"/>
      <c r="C29" s="1"/>
      <c r="D29" s="1"/>
      <c r="E29" s="1"/>
      <c r="F29" s="1"/>
      <c r="G29" s="1"/>
      <c r="H29" s="1"/>
      <c r="I29" s="1"/>
      <c r="J29" s="1"/>
      <c r="K29" s="1"/>
    </row>
    <row r="30" customFormat="false" ht="15" hidden="false" customHeight="false" outlineLevel="0" collapsed="false">
      <c r="A30" s="1"/>
      <c r="B30" s="15" t="s">
        <v>496</v>
      </c>
      <c r="C30" s="1"/>
      <c r="D30" s="1"/>
      <c r="E30" s="1"/>
      <c r="F30" s="1"/>
      <c r="G30" s="1"/>
      <c r="H30" s="1"/>
      <c r="I30" s="1"/>
      <c r="J30" s="1"/>
      <c r="K30" s="1"/>
    </row>
    <row r="31" customFormat="false" ht="15" hidden="false" customHeight="false" outlineLevel="0" collapsed="false">
      <c r="A31" s="1"/>
      <c r="B31" s="8" t="s">
        <v>25</v>
      </c>
      <c r="C31" s="8" t="s">
        <v>79</v>
      </c>
      <c r="D31" s="8" t="s">
        <v>84</v>
      </c>
      <c r="E31" s="8" t="s">
        <v>299</v>
      </c>
      <c r="F31" s="8" t="s">
        <v>81</v>
      </c>
      <c r="G31" s="8" t="s">
        <v>83</v>
      </c>
      <c r="H31" s="8" t="s">
        <v>163</v>
      </c>
      <c r="I31" s="8" t="s">
        <v>161</v>
      </c>
      <c r="J31" s="8" t="s">
        <v>164</v>
      </c>
      <c r="K31" s="8" t="s">
        <v>497</v>
      </c>
    </row>
    <row r="32" customFormat="false" ht="45" hidden="false" customHeight="true" outlineLevel="0" collapsed="false">
      <c r="A32" s="1"/>
      <c r="B32" s="22" t="s">
        <v>197</v>
      </c>
      <c r="C32" s="22" t="s">
        <v>498</v>
      </c>
      <c r="D32" s="22" t="s">
        <v>499</v>
      </c>
      <c r="E32" s="42" t="s">
        <v>165</v>
      </c>
      <c r="F32" s="22" t="s">
        <v>500</v>
      </c>
      <c r="G32" s="22" t="s">
        <v>501</v>
      </c>
      <c r="H32" s="22" t="s">
        <v>167</v>
      </c>
      <c r="I32" s="22" t="s">
        <v>166</v>
      </c>
      <c r="J32" s="22" t="s">
        <v>168</v>
      </c>
      <c r="K32" s="22" t="s">
        <v>502</v>
      </c>
    </row>
    <row r="33" customFormat="false" ht="45" hidden="false" customHeight="true" outlineLevel="0" collapsed="false">
      <c r="A33" s="1"/>
      <c r="B33" s="22" t="s">
        <v>198</v>
      </c>
      <c r="C33" s="22" t="s">
        <v>498</v>
      </c>
      <c r="D33" s="22" t="s">
        <v>503</v>
      </c>
      <c r="E33" s="42" t="s">
        <v>169</v>
      </c>
      <c r="F33" s="22" t="s">
        <v>504</v>
      </c>
      <c r="G33" s="22" t="s">
        <v>505</v>
      </c>
      <c r="H33" s="22" t="s">
        <v>171</v>
      </c>
      <c r="I33" s="22" t="s">
        <v>170</v>
      </c>
      <c r="J33" s="22" t="s">
        <v>172</v>
      </c>
      <c r="K33" s="22" t="s">
        <v>506</v>
      </c>
    </row>
    <row r="34" customFormat="false" ht="45" hidden="false" customHeight="true" outlineLevel="0" collapsed="false">
      <c r="A34" s="1"/>
      <c r="B34" s="22" t="s">
        <v>199</v>
      </c>
      <c r="C34" s="22" t="s">
        <v>507</v>
      </c>
      <c r="D34" s="22" t="s">
        <v>499</v>
      </c>
      <c r="E34" s="42" t="s">
        <v>173</v>
      </c>
      <c r="F34" s="22" t="s">
        <v>508</v>
      </c>
      <c r="G34" s="22" t="s">
        <v>509</v>
      </c>
      <c r="H34" s="22" t="s">
        <v>175</v>
      </c>
      <c r="I34" s="22" t="s">
        <v>174</v>
      </c>
      <c r="J34" s="22" t="s">
        <v>176</v>
      </c>
      <c r="K34" s="22" t="s">
        <v>510</v>
      </c>
    </row>
    <row r="35" customFormat="false" ht="45" hidden="false" customHeight="true" outlineLevel="0" collapsed="false">
      <c r="A35" s="1"/>
      <c r="B35" s="22" t="s">
        <v>200</v>
      </c>
      <c r="C35" s="22" t="s">
        <v>507</v>
      </c>
      <c r="D35" s="22" t="s">
        <v>503</v>
      </c>
      <c r="E35" s="42" t="s">
        <v>177</v>
      </c>
      <c r="F35" s="22" t="s">
        <v>511</v>
      </c>
      <c r="G35" s="22" t="s">
        <v>512</v>
      </c>
      <c r="H35" s="22" t="s">
        <v>179</v>
      </c>
      <c r="I35" s="22" t="s">
        <v>178</v>
      </c>
      <c r="J35" s="22" t="s">
        <v>180</v>
      </c>
      <c r="K35" s="22" t="s">
        <v>513</v>
      </c>
    </row>
    <row r="36" customFormat="false" ht="45" hidden="false" customHeight="true" outlineLevel="0" collapsed="false">
      <c r="A36" s="1"/>
      <c r="B36" s="22" t="s">
        <v>201</v>
      </c>
      <c r="C36" s="22" t="s">
        <v>514</v>
      </c>
      <c r="D36" s="22" t="s">
        <v>499</v>
      </c>
      <c r="E36" s="42" t="s">
        <v>181</v>
      </c>
      <c r="F36" s="22" t="s">
        <v>515</v>
      </c>
      <c r="G36" s="22" t="s">
        <v>516</v>
      </c>
      <c r="H36" s="22" t="s">
        <v>183</v>
      </c>
      <c r="I36" s="22" t="s">
        <v>182</v>
      </c>
      <c r="J36" s="22" t="s">
        <v>184</v>
      </c>
      <c r="K36" s="22" t="s">
        <v>517</v>
      </c>
    </row>
    <row r="37" customFormat="false" ht="45" hidden="false" customHeight="true" outlineLevel="0" collapsed="false">
      <c r="A37" s="1"/>
      <c r="B37" s="22" t="s">
        <v>202</v>
      </c>
      <c r="C37" s="22" t="s">
        <v>514</v>
      </c>
      <c r="D37" s="22" t="s">
        <v>503</v>
      </c>
      <c r="E37" s="42" t="s">
        <v>185</v>
      </c>
      <c r="F37" s="22" t="s">
        <v>518</v>
      </c>
      <c r="G37" s="22" t="s">
        <v>519</v>
      </c>
      <c r="H37" s="22" t="s">
        <v>187</v>
      </c>
      <c r="I37" s="22" t="s">
        <v>186</v>
      </c>
      <c r="J37" s="22" t="s">
        <v>188</v>
      </c>
      <c r="K37" s="22" t="s">
        <v>520</v>
      </c>
    </row>
    <row r="38" customFormat="false" ht="15" hidden="false" customHeight="false" outlineLevel="0" collapsed="false">
      <c r="A38" s="1"/>
      <c r="B38" s="1"/>
      <c r="C38" s="1"/>
      <c r="D38" s="1"/>
      <c r="E38" s="1"/>
      <c r="F38" s="1"/>
      <c r="G38" s="1"/>
      <c r="H38" s="1"/>
      <c r="I38" s="1"/>
      <c r="J38" s="1"/>
      <c r="K38" s="1"/>
    </row>
    <row r="39" customFormat="false" ht="15" hidden="false" customHeight="false" outlineLevel="0" collapsed="false">
      <c r="A39" s="1"/>
      <c r="B39" s="15" t="s">
        <v>521</v>
      </c>
      <c r="C39" s="1"/>
      <c r="D39" s="1"/>
      <c r="E39" s="1"/>
      <c r="F39" s="1"/>
      <c r="G39" s="1"/>
      <c r="H39" s="1"/>
      <c r="I39" s="1"/>
      <c r="J39" s="1"/>
      <c r="K39" s="1"/>
    </row>
    <row r="40" customFormat="false" ht="15" hidden="false" customHeight="false" outlineLevel="0" collapsed="false">
      <c r="A40" s="1"/>
      <c r="B40" s="8" t="s">
        <v>90</v>
      </c>
      <c r="C40" s="1"/>
      <c r="D40" s="1"/>
      <c r="E40" s="8" t="s">
        <v>522</v>
      </c>
      <c r="F40" s="8" t="s">
        <v>523</v>
      </c>
      <c r="G40" s="1"/>
      <c r="H40" s="1"/>
      <c r="I40" s="1"/>
      <c r="J40" s="1"/>
      <c r="K40" s="1"/>
    </row>
    <row r="41" customFormat="false" ht="23.85" hidden="false" customHeight="false" outlineLevel="0" collapsed="false">
      <c r="A41" s="1"/>
      <c r="B41" s="22" t="s">
        <v>92</v>
      </c>
      <c r="C41" s="1"/>
      <c r="D41" s="1"/>
      <c r="E41" s="22" t="s">
        <v>524</v>
      </c>
      <c r="F41" s="22" t="s">
        <v>525</v>
      </c>
      <c r="G41" s="1"/>
      <c r="H41" s="1"/>
      <c r="I41" s="1"/>
      <c r="J41" s="1"/>
      <c r="K41" s="1"/>
    </row>
    <row r="42" customFormat="false" ht="23.85" hidden="false" customHeight="false" outlineLevel="0" collapsed="false">
      <c r="A42" s="1"/>
      <c r="B42" s="22" t="s">
        <v>95</v>
      </c>
      <c r="C42" s="1"/>
      <c r="D42" s="1"/>
      <c r="E42" s="22" t="s">
        <v>526</v>
      </c>
      <c r="F42" s="22" t="s">
        <v>527</v>
      </c>
      <c r="G42" s="1"/>
      <c r="H42" s="1"/>
      <c r="I42" s="1"/>
      <c r="J42" s="1"/>
      <c r="K42" s="1"/>
    </row>
    <row r="43" customFormat="false" ht="30" hidden="false" customHeight="true" outlineLevel="0" collapsed="false">
      <c r="A43" s="1"/>
      <c r="B43" s="22" t="s">
        <v>97</v>
      </c>
      <c r="C43" s="1"/>
      <c r="D43" s="1"/>
      <c r="E43" s="22" t="s">
        <v>528</v>
      </c>
      <c r="F43" s="22" t="s">
        <v>529</v>
      </c>
      <c r="G43" s="1"/>
      <c r="H43" s="1"/>
      <c r="I43" s="1"/>
      <c r="J43" s="1"/>
      <c r="K43" s="1"/>
    </row>
    <row r="44" customFormat="false" ht="23.85" hidden="false" customHeight="false" outlineLevel="0" collapsed="false">
      <c r="A44" s="1"/>
      <c r="B44" s="22" t="s">
        <v>39</v>
      </c>
      <c r="C44" s="1"/>
      <c r="D44" s="1"/>
      <c r="E44" s="22" t="s">
        <v>530</v>
      </c>
      <c r="F44" s="22" t="s">
        <v>531</v>
      </c>
      <c r="G44" s="1"/>
      <c r="H44" s="1"/>
      <c r="I44" s="1"/>
      <c r="J44" s="1"/>
      <c r="K44" s="1"/>
    </row>
    <row r="45" customFormat="false" ht="23.85" hidden="false" customHeight="false" outlineLevel="0" collapsed="false">
      <c r="A45" s="1"/>
      <c r="B45" s="22" t="s">
        <v>100</v>
      </c>
      <c r="C45" s="1"/>
      <c r="D45" s="1"/>
      <c r="E45" s="22" t="s">
        <v>532</v>
      </c>
      <c r="F45" s="22" t="s">
        <v>533</v>
      </c>
      <c r="G45" s="1"/>
      <c r="H45" s="1"/>
      <c r="I45" s="1"/>
      <c r="J45" s="1"/>
      <c r="K45" s="1"/>
    </row>
    <row r="46" customFormat="false" ht="30" hidden="false" customHeight="true" outlineLevel="0" collapsed="false">
      <c r="A46" s="1"/>
      <c r="B46" s="22" t="s">
        <v>102</v>
      </c>
      <c r="C46" s="1"/>
      <c r="D46" s="1"/>
      <c r="E46" s="22" t="s">
        <v>534</v>
      </c>
      <c r="F46" s="22" t="s">
        <v>535</v>
      </c>
      <c r="G46" s="1"/>
      <c r="H46" s="1"/>
      <c r="I46" s="1"/>
      <c r="J46" s="1"/>
      <c r="K46" s="1"/>
    </row>
    <row r="47" customFormat="false" ht="15" hidden="false" customHeight="false" outlineLevel="0" collapsed="false">
      <c r="A47" s="1"/>
      <c r="B47" s="1"/>
      <c r="C47" s="1"/>
      <c r="D47" s="1"/>
      <c r="E47" s="1"/>
      <c r="F47" s="1"/>
      <c r="G47" s="1"/>
      <c r="H47" s="1"/>
      <c r="I47" s="1"/>
      <c r="J47" s="1"/>
      <c r="K47" s="1"/>
    </row>
    <row r="48" customFormat="false" ht="15" hidden="false" customHeight="false" outlineLevel="0" collapsed="false">
      <c r="A48" s="1"/>
      <c r="B48" s="15" t="s">
        <v>536</v>
      </c>
      <c r="C48" s="1"/>
      <c r="D48" s="1"/>
      <c r="E48" s="1"/>
      <c r="F48" s="1"/>
      <c r="G48" s="1"/>
      <c r="H48" s="1"/>
      <c r="I48" s="1"/>
      <c r="J48" s="1"/>
      <c r="K48" s="1"/>
    </row>
    <row r="49" customFormat="false" ht="15" hidden="false" customHeight="false" outlineLevel="0" collapsed="false">
      <c r="A49" s="1"/>
      <c r="B49" s="8" t="s">
        <v>25</v>
      </c>
      <c r="C49" s="8" t="s">
        <v>90</v>
      </c>
      <c r="D49" s="8" t="s">
        <v>61</v>
      </c>
      <c r="E49" s="8" t="s">
        <v>475</v>
      </c>
      <c r="F49" s="1"/>
      <c r="G49" s="1"/>
      <c r="H49" s="1"/>
      <c r="I49" s="1"/>
      <c r="J49" s="1"/>
      <c r="K49" s="1"/>
    </row>
    <row r="50" customFormat="false" ht="15" hidden="false" customHeight="false" outlineLevel="0" collapsed="false">
      <c r="A50" s="1"/>
      <c r="B50" s="22" t="s">
        <v>537</v>
      </c>
      <c r="C50" s="22" t="s">
        <v>104</v>
      </c>
      <c r="D50" s="22" t="s">
        <v>349</v>
      </c>
      <c r="E50" s="22" t="s">
        <v>538</v>
      </c>
      <c r="F50" s="1"/>
      <c r="G50" s="1"/>
      <c r="H50" s="1"/>
      <c r="I50" s="1"/>
      <c r="J50" s="1"/>
      <c r="K50" s="1"/>
    </row>
    <row r="51" customFormat="false" ht="30" hidden="false" customHeight="true" outlineLevel="0" collapsed="false">
      <c r="A51" s="1"/>
      <c r="B51" s="22" t="s">
        <v>539</v>
      </c>
      <c r="C51" s="22" t="s">
        <v>104</v>
      </c>
      <c r="D51" s="22" t="s">
        <v>355</v>
      </c>
      <c r="E51" s="22" t="s">
        <v>540</v>
      </c>
      <c r="F51" s="1"/>
      <c r="G51" s="1"/>
      <c r="H51" s="1"/>
      <c r="I51" s="1"/>
      <c r="J51" s="1"/>
      <c r="K51" s="1"/>
    </row>
    <row r="52" customFormat="false" ht="15" hidden="false" customHeight="false" outlineLevel="0" collapsed="false">
      <c r="A52" s="1"/>
      <c r="B52" s="22" t="s">
        <v>541</v>
      </c>
      <c r="C52" s="22" t="s">
        <v>104</v>
      </c>
      <c r="D52" s="22" t="s">
        <v>361</v>
      </c>
      <c r="E52" s="22" t="s">
        <v>542</v>
      </c>
      <c r="F52" s="1"/>
      <c r="G52" s="1"/>
      <c r="H52" s="1"/>
      <c r="I52" s="1"/>
      <c r="J52" s="1"/>
      <c r="K52" s="1"/>
    </row>
    <row r="53" customFormat="false" ht="15" hidden="false" customHeight="false" outlineLevel="0" collapsed="false">
      <c r="A53" s="1"/>
      <c r="B53" s="22" t="s">
        <v>543</v>
      </c>
      <c r="C53" s="22" t="s">
        <v>106</v>
      </c>
      <c r="D53" s="22" t="s">
        <v>349</v>
      </c>
      <c r="E53" s="22" t="s">
        <v>544</v>
      </c>
      <c r="F53" s="1"/>
      <c r="G53" s="1"/>
      <c r="H53" s="1"/>
      <c r="I53" s="1"/>
      <c r="J53" s="1"/>
      <c r="K53" s="1"/>
    </row>
    <row r="54" customFormat="false" ht="15" hidden="false" customHeight="false" outlineLevel="0" collapsed="false">
      <c r="A54" s="1"/>
      <c r="B54" s="22" t="s">
        <v>545</v>
      </c>
      <c r="C54" s="22" t="s">
        <v>106</v>
      </c>
      <c r="D54" s="22" t="s">
        <v>355</v>
      </c>
      <c r="E54" s="22" t="s">
        <v>546</v>
      </c>
      <c r="F54" s="1"/>
      <c r="G54" s="1"/>
      <c r="H54" s="1"/>
      <c r="I54" s="1"/>
      <c r="J54" s="1"/>
      <c r="K54" s="1"/>
    </row>
    <row r="55" customFormat="false" ht="15" hidden="false" customHeight="false" outlineLevel="0" collapsed="false">
      <c r="A55" s="1"/>
      <c r="B55" s="22" t="s">
        <v>547</v>
      </c>
      <c r="C55" s="22" t="s">
        <v>106</v>
      </c>
      <c r="D55" s="22" t="s">
        <v>361</v>
      </c>
      <c r="E55" s="22" t="s">
        <v>548</v>
      </c>
      <c r="F55" s="1"/>
      <c r="G55" s="1"/>
      <c r="H55" s="1"/>
      <c r="I55" s="1"/>
      <c r="J55" s="1"/>
      <c r="K55" s="1"/>
    </row>
    <row r="56" customFormat="false" ht="15" hidden="false" customHeight="false" outlineLevel="0" collapsed="false">
      <c r="A56" s="1"/>
      <c r="B56" s="22" t="s">
        <v>549</v>
      </c>
      <c r="C56" s="22" t="s">
        <v>108</v>
      </c>
      <c r="D56" s="22" t="s">
        <v>349</v>
      </c>
      <c r="E56" s="22" t="s">
        <v>550</v>
      </c>
      <c r="F56" s="1"/>
      <c r="G56" s="1"/>
      <c r="H56" s="1"/>
      <c r="I56" s="1"/>
      <c r="J56" s="1"/>
      <c r="K56" s="1"/>
    </row>
    <row r="57" customFormat="false" ht="15" hidden="false" customHeight="false" outlineLevel="0" collapsed="false">
      <c r="A57" s="1"/>
      <c r="B57" s="22" t="s">
        <v>551</v>
      </c>
      <c r="C57" s="22" t="s">
        <v>108</v>
      </c>
      <c r="D57" s="22" t="s">
        <v>355</v>
      </c>
      <c r="E57" s="22" t="s">
        <v>552</v>
      </c>
      <c r="F57" s="1"/>
      <c r="G57" s="1"/>
      <c r="H57" s="1"/>
      <c r="I57" s="1"/>
      <c r="J57" s="1"/>
      <c r="K57" s="1"/>
    </row>
    <row r="58" customFormat="false" ht="15" hidden="false" customHeight="false" outlineLevel="0" collapsed="false">
      <c r="A58" s="1"/>
      <c r="B58" s="22" t="s">
        <v>553</v>
      </c>
      <c r="C58" s="22" t="s">
        <v>108</v>
      </c>
      <c r="D58" s="22" t="s">
        <v>361</v>
      </c>
      <c r="E58" s="22" t="s">
        <v>554</v>
      </c>
      <c r="F58" s="1"/>
      <c r="G58" s="1"/>
      <c r="H58" s="1"/>
      <c r="I58" s="1"/>
      <c r="J58" s="1"/>
      <c r="K58" s="1"/>
    </row>
    <row r="59" customFormat="false" ht="15" hidden="false" customHeight="false" outlineLevel="0" collapsed="false">
      <c r="A59" s="1"/>
      <c r="B59" s="22" t="s">
        <v>555</v>
      </c>
      <c r="C59" s="22" t="s">
        <v>110</v>
      </c>
      <c r="D59" s="22" t="s">
        <v>349</v>
      </c>
      <c r="E59" s="22" t="s">
        <v>556</v>
      </c>
      <c r="F59" s="1"/>
      <c r="G59" s="1"/>
      <c r="H59" s="1"/>
      <c r="I59" s="1"/>
      <c r="J59" s="1"/>
      <c r="K59" s="1"/>
    </row>
    <row r="60" customFormat="false" ht="15" hidden="false" customHeight="false" outlineLevel="0" collapsed="false">
      <c r="A60" s="1"/>
      <c r="B60" s="22" t="s">
        <v>557</v>
      </c>
      <c r="C60" s="22" t="s">
        <v>110</v>
      </c>
      <c r="D60" s="22" t="s">
        <v>355</v>
      </c>
      <c r="E60" s="22" t="s">
        <v>558</v>
      </c>
      <c r="F60" s="1"/>
      <c r="G60" s="1"/>
      <c r="H60" s="1"/>
      <c r="I60" s="1"/>
      <c r="J60" s="1"/>
      <c r="K60" s="1"/>
    </row>
    <row r="61" customFormat="false" ht="15" hidden="false" customHeight="false" outlineLevel="0" collapsed="false">
      <c r="A61" s="1"/>
      <c r="B61" s="22" t="s">
        <v>559</v>
      </c>
      <c r="C61" s="22" t="s">
        <v>110</v>
      </c>
      <c r="D61" s="22" t="s">
        <v>361</v>
      </c>
      <c r="E61" s="22" t="s">
        <v>560</v>
      </c>
      <c r="F61" s="1"/>
      <c r="G61" s="1"/>
      <c r="H61" s="1"/>
      <c r="I61" s="1"/>
      <c r="J61" s="1"/>
      <c r="K61" s="1"/>
    </row>
    <row r="62" customFormat="false" ht="15" hidden="false" customHeight="false" outlineLevel="0" collapsed="false">
      <c r="A62" s="1"/>
      <c r="B62" s="1"/>
      <c r="C62" s="1"/>
      <c r="D62" s="1"/>
      <c r="E62" s="1"/>
      <c r="F62" s="1"/>
      <c r="G62" s="1"/>
      <c r="H62" s="1"/>
      <c r="I62" s="1"/>
      <c r="J62" s="1"/>
      <c r="K62" s="1"/>
    </row>
    <row r="63" customFormat="false" ht="15" hidden="false" customHeight="false" outlineLevel="0" collapsed="false">
      <c r="A63" s="1"/>
      <c r="B63" s="15" t="s">
        <v>561</v>
      </c>
      <c r="C63" s="1"/>
      <c r="D63" s="1"/>
      <c r="E63" s="1"/>
      <c r="F63" s="1"/>
      <c r="G63" s="1"/>
      <c r="H63" s="1"/>
      <c r="I63" s="1"/>
      <c r="J63" s="1"/>
      <c r="K63" s="1"/>
    </row>
    <row r="64" customFormat="false" ht="15" hidden="false" customHeight="false" outlineLevel="0" collapsed="false">
      <c r="A64" s="1"/>
      <c r="B64" s="8" t="s">
        <v>562</v>
      </c>
      <c r="C64" s="1"/>
      <c r="D64" s="1"/>
      <c r="E64" s="8" t="s">
        <v>475</v>
      </c>
      <c r="F64" s="1"/>
      <c r="G64" s="1"/>
      <c r="H64" s="1"/>
      <c r="I64" s="1"/>
      <c r="J64" s="1"/>
      <c r="K64" s="1"/>
    </row>
    <row r="65" customFormat="false" ht="30" hidden="false" customHeight="true" outlineLevel="0" collapsed="false">
      <c r="A65" s="1"/>
      <c r="B65" s="22" t="s">
        <v>563</v>
      </c>
      <c r="C65" s="1"/>
      <c r="D65" s="1"/>
      <c r="E65" s="22" t="s">
        <v>564</v>
      </c>
      <c r="F65" s="1"/>
      <c r="G65" s="1"/>
      <c r="H65" s="1"/>
      <c r="I65" s="1"/>
      <c r="J65" s="1"/>
      <c r="K65" s="1"/>
    </row>
    <row r="66" customFormat="false" ht="30" hidden="false" customHeight="true" outlineLevel="0" collapsed="false">
      <c r="A66" s="1"/>
      <c r="B66" s="22" t="s">
        <v>565</v>
      </c>
      <c r="C66" s="1"/>
      <c r="D66" s="1"/>
      <c r="E66" s="22" t="s">
        <v>566</v>
      </c>
      <c r="F66" s="1"/>
      <c r="G66" s="1"/>
      <c r="H66" s="1"/>
      <c r="I66" s="1"/>
      <c r="J66" s="1"/>
      <c r="K66" s="1"/>
    </row>
    <row r="67" customFormat="false" ht="15" hidden="false" customHeight="false" outlineLevel="0" collapsed="false">
      <c r="A67" s="1"/>
      <c r="B67" s="1"/>
      <c r="C67" s="1"/>
      <c r="D67" s="1"/>
      <c r="E67" s="1"/>
      <c r="F67" s="1"/>
      <c r="G67" s="1"/>
      <c r="H67" s="1"/>
      <c r="I67" s="1"/>
      <c r="J67" s="1"/>
      <c r="K67"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2026-09-27T00:35:12Z</dcterms:created>
  <dc:creator>openpyxl</dc:creator>
  <dc:description/>
  <dc:language>en-US</dc:language>
  <cp:lastModifiedBy/>
  <dcterms:modified xsi:type="dcterms:W3CDTF">2026-09-27T00:35:12Z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